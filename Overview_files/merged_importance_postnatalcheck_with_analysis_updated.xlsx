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L:\research_assistants\Pepe\MLPaper\Overview_files\"/>
    </mc:Choice>
  </mc:AlternateContent>
  <xr:revisionPtr revIDLastSave="0" documentId="13_ncr:1_{0DC6C1D8-12BA-4010-8B00-D4A6CDC090A8}" xr6:coauthVersionLast="47" xr6:coauthVersionMax="47" xr10:uidLastSave="{00000000-0000-0000-0000-000000000000}"/>
  <bookViews>
    <workbookView xWindow="8145" yWindow="0" windowWidth="20760" windowHeight="17385" xr2:uid="{00000000-000D-0000-FFFF-FFFF00000000}"/>
  </bookViews>
  <sheets>
    <sheet name="Sheet2" sheetId="3" r:id="rId1"/>
    <sheet name="Sheet3" sheetId="4" r:id="rId2"/>
    <sheet name="Sheet4" sheetId="5" r:id="rId3"/>
  </sheets>
  <definedNames>
    <definedName name="_xlnm._FilterDatabase" localSheetId="0" hidden="1">Sheet2!$A$2:$H$26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3" l="1"/>
  <c r="H5" i="3"/>
  <c r="H26" i="3"/>
  <c r="H25" i="3"/>
  <c r="H24" i="3"/>
  <c r="H23" i="3"/>
  <c r="H22" i="3"/>
  <c r="H21" i="3"/>
  <c r="H20" i="3"/>
  <c r="H19" i="3"/>
  <c r="H18" i="3"/>
  <c r="H16" i="3"/>
  <c r="H3" i="3"/>
  <c r="H15" i="3"/>
  <c r="H14" i="3"/>
  <c r="H12" i="3"/>
  <c r="H13" i="3"/>
  <c r="H11" i="3"/>
  <c r="H10" i="3"/>
  <c r="H9" i="3"/>
  <c r="H8" i="3"/>
  <c r="H7" i="3"/>
  <c r="H6" i="3"/>
  <c r="H4" i="3"/>
  <c r="D29" i="3"/>
  <c r="E29" i="3"/>
  <c r="F29" i="3"/>
  <c r="G29" i="3"/>
  <c r="C29" i="3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B25" i="5"/>
  <c r="B23" i="5"/>
  <c r="B21" i="5"/>
  <c r="B19" i="5"/>
  <c r="B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26" i="5"/>
  <c r="A25" i="5"/>
  <c r="A24" i="5"/>
  <c r="A23" i="5"/>
  <c r="A22" i="5"/>
  <c r="A21" i="5"/>
  <c r="A20" i="5"/>
  <c r="A19" i="5"/>
  <c r="A18" i="5"/>
  <c r="A17" i="5"/>
  <c r="A16" i="5"/>
</calcChain>
</file>

<file path=xl/sharedStrings.xml><?xml version="1.0" encoding="utf-8"?>
<sst xmlns="http://schemas.openxmlformats.org/spreadsheetml/2006/main" count="934" uniqueCount="166">
  <si>
    <t>XGBoost_Benin</t>
  </si>
  <si>
    <t>XGBoost_Burkina.Faso</t>
  </si>
  <si>
    <t>XGBoost_Burundi</t>
  </si>
  <si>
    <t>XGBoost_Cameroon</t>
  </si>
  <si>
    <t>XGBoost_Chad</t>
  </si>
  <si>
    <t>XGBoost_Cote.dIvoire</t>
  </si>
  <si>
    <t>XGBoost_DRC</t>
  </si>
  <si>
    <t>XGBoost_Eswatini</t>
  </si>
  <si>
    <t>XGBoost_Ethiopia</t>
  </si>
  <si>
    <t>XGBoost_Ghana</t>
  </si>
  <si>
    <t>XGBoost_Guinea</t>
  </si>
  <si>
    <t>XGBoost_Kenya</t>
  </si>
  <si>
    <t>XGBoost_Lesotho</t>
  </si>
  <si>
    <t>XGBoost_Liberia</t>
  </si>
  <si>
    <t>XGBoost_Madagascar</t>
  </si>
  <si>
    <t>XGBoost_Malawi</t>
  </si>
  <si>
    <t>XGBoost_Mali</t>
  </si>
  <si>
    <t>XGBoost_Mauritania</t>
  </si>
  <si>
    <t>XGBoost_Namibia</t>
  </si>
  <si>
    <t>XGBoost_Niger</t>
  </si>
  <si>
    <t>XGBoost_Nigeria</t>
  </si>
  <si>
    <t>XGBoost_Republic.of.the.Congo</t>
  </si>
  <si>
    <t>XGBoost_Rwanda</t>
  </si>
  <si>
    <t>XGBoost_Senegal</t>
  </si>
  <si>
    <t>XGBoost_Sierra.Leone</t>
  </si>
  <si>
    <t>XGBoost_Tanzania</t>
  </si>
  <si>
    <t>XGBoost_The.Gambia</t>
  </si>
  <si>
    <t>XGBoost_Togo</t>
  </si>
  <si>
    <t>XGBoost_Uganda</t>
  </si>
  <si>
    <t>XGBoost_Zambia</t>
  </si>
  <si>
    <t>XGBoost_Zimbabwe</t>
  </si>
  <si>
    <t>rural</t>
  </si>
  <si>
    <t>bankaccount</t>
  </si>
  <si>
    <t>tested_HIV</t>
  </si>
  <si>
    <t>heard_family_planning</t>
  </si>
  <si>
    <t>member_all_HH</t>
  </si>
  <si>
    <t>member_child_under_5</t>
  </si>
  <si>
    <t>mosquitonets_nr</t>
  </si>
  <si>
    <t>cattle</t>
  </si>
  <si>
    <t>ideal_nr_children</t>
  </si>
  <si>
    <t>bmi</t>
  </si>
  <si>
    <t>water_time</t>
  </si>
  <si>
    <t xml:space="preserve">How often variable was rank 1,2,3,4,5 </t>
  </si>
  <si>
    <t>V1</t>
  </si>
  <si>
    <t>V2</t>
  </si>
  <si>
    <t>V3</t>
  </si>
  <si>
    <t>V4</t>
  </si>
  <si>
    <t>V5</t>
  </si>
  <si>
    <t>Row Labels</t>
  </si>
  <si>
    <t>Grand Total</t>
  </si>
  <si>
    <t>Number</t>
  </si>
  <si>
    <t>#1</t>
  </si>
  <si>
    <t>#2</t>
  </si>
  <si>
    <t>#3</t>
  </si>
  <si>
    <t>#4</t>
  </si>
  <si>
    <t>#5</t>
  </si>
  <si>
    <t>total top 5</t>
  </si>
  <si>
    <t>Benin</t>
  </si>
  <si>
    <t>*Rural place of residence</t>
  </si>
  <si>
    <t>Tested for HIV</t>
  </si>
  <si>
    <t>Number of cattle owned</t>
  </si>
  <si>
    <t>Time for HH to get to water source</t>
  </si>
  <si>
    <t>Number of HH members &lt;5 years</t>
  </si>
  <si>
    <t>Number of mosquitonets</t>
  </si>
  <si>
    <t>Body Mass Index</t>
  </si>
  <si>
    <t>Ideal number of children</t>
  </si>
  <si>
    <t>Has bankaccount</t>
  </si>
  <si>
    <t>Number of HH members</t>
  </si>
  <si>
    <t>Predictor</t>
  </si>
  <si>
    <t>Variable Importance</t>
  </si>
  <si>
    <t>Top #1</t>
  </si>
  <si>
    <t>Top #2</t>
  </si>
  <si>
    <t>Top #3</t>
  </si>
  <si>
    <t>Top #4</t>
  </si>
  <si>
    <t>Top #5</t>
  </si>
  <si>
    <t>Burkina.Faso</t>
  </si>
  <si>
    <t>Burundi</t>
  </si>
  <si>
    <t>Cameroon</t>
  </si>
  <si>
    <t>Chad</t>
  </si>
  <si>
    <t>Cote.dIvoire</t>
  </si>
  <si>
    <t>DRC</t>
  </si>
  <si>
    <t>Eswatini</t>
  </si>
  <si>
    <t>Ethiopia</t>
  </si>
  <si>
    <t>Ghana</t>
  </si>
  <si>
    <t>Guinea</t>
  </si>
  <si>
    <t>Kenya</t>
  </si>
  <si>
    <t>Lesotho</t>
  </si>
  <si>
    <t>Liberia</t>
  </si>
  <si>
    <t>Madagascar</t>
  </si>
  <si>
    <t>Malawi</t>
  </si>
  <si>
    <t>Mali</t>
  </si>
  <si>
    <t>Mauritania</t>
  </si>
  <si>
    <t>Namibia</t>
  </si>
  <si>
    <t>Niger</t>
  </si>
  <si>
    <t>Nigeria</t>
  </si>
  <si>
    <t>Republic.of.the.Congo</t>
  </si>
  <si>
    <t>Rwanda</t>
  </si>
  <si>
    <t>Senegal</t>
  </si>
  <si>
    <t>Sierra.Leone</t>
  </si>
  <si>
    <t>Tanzania</t>
  </si>
  <si>
    <t>The.Gambia</t>
  </si>
  <si>
    <t>Togo</t>
  </si>
  <si>
    <t>Uganda</t>
  </si>
  <si>
    <t>Zambia</t>
  </si>
  <si>
    <t>Zimbabwe</t>
  </si>
  <si>
    <t>Variable</t>
  </si>
  <si>
    <t>Count of Variable</t>
  </si>
  <si>
    <t>Heard of family planning via any media form</t>
  </si>
  <si>
    <t>health_card</t>
  </si>
  <si>
    <t>member_men_HH</t>
  </si>
  <si>
    <t>education_no_edu</t>
  </si>
  <si>
    <t>*No education level attained</t>
  </si>
  <si>
    <t>Number of male HH members</t>
  </si>
  <si>
    <t>Health card for child</t>
  </si>
  <si>
    <t>locationBirth</t>
  </si>
  <si>
    <t>language_Bamoun</t>
  </si>
  <si>
    <t>soap</t>
  </si>
  <si>
    <t>terminated_pregnancy</t>
  </si>
  <si>
    <t>drinking_water</t>
  </si>
  <si>
    <t>ethnicity_Bas_kasai_et_kwilu_kwngo</t>
  </si>
  <si>
    <t>ethnicity_Mole_dagbani</t>
  </si>
  <si>
    <t>heard_tuberculosis</t>
  </si>
  <si>
    <t>ethnicity_Akan</t>
  </si>
  <si>
    <t>heard_sti</t>
  </si>
  <si>
    <t>ethnicity_Kalenjin</t>
  </si>
  <si>
    <t>ethnicity_Turkana</t>
  </si>
  <si>
    <t>ethnicity_Somali</t>
  </si>
  <si>
    <t>currently_working</t>
  </si>
  <si>
    <t>contraceptive_health_care</t>
  </si>
  <si>
    <t>listen_radio</t>
  </si>
  <si>
    <t>language_Chichewa</t>
  </si>
  <si>
    <t>language_Poular</t>
  </si>
  <si>
    <t>language_Yoruba</t>
  </si>
  <si>
    <t>safe_toilet_facility</t>
  </si>
  <si>
    <t>language_Krio</t>
  </si>
  <si>
    <t>decides_health_care</t>
  </si>
  <si>
    <t>language_Runyankole_rukiga</t>
  </si>
  <si>
    <t>*Currently working</t>
  </si>
  <si>
    <t>Ethnicity: Mole dagbani</t>
  </si>
  <si>
    <t>Ethnicity: Akan</t>
  </si>
  <si>
    <t>Language: Chichewa</t>
  </si>
  <si>
    <t>Language: Runyankole rukiga</t>
  </si>
  <si>
    <t>Ethnicity: Kalenjin</t>
  </si>
  <si>
    <t>Ethnicity: Turkana</t>
  </si>
  <si>
    <t>Not at all listens to radio</t>
  </si>
  <si>
    <t>Language: Krio</t>
  </si>
  <si>
    <t>Contraceptive requires access to health facility</t>
  </si>
  <si>
    <t>Involved in decision about own healthcare</t>
  </si>
  <si>
    <t>Has access to source of drinking water</t>
  </si>
  <si>
    <t>Language: Bamoun</t>
  </si>
  <si>
    <t>Language: Poular</t>
  </si>
  <si>
    <t>Language: Yoruba</t>
  </si>
  <si>
    <t>Ethnicity: Bas kasai and kwilu kwngo</t>
  </si>
  <si>
    <t>Ethnicity: Somali</t>
  </si>
  <si>
    <t>Heard of STI</t>
  </si>
  <si>
    <t>Heard of tuberculosis</t>
  </si>
  <si>
    <t>Health facility-based birth</t>
  </si>
  <si>
    <t>Safe toilet facility</t>
  </si>
  <si>
    <t>Soap present at place for hand washing</t>
  </si>
  <si>
    <t>Ever had a terminated pregnancy</t>
  </si>
  <si>
    <t>electricity</t>
  </si>
  <si>
    <t>Has access to electricity</t>
  </si>
  <si>
    <t>ethnicity_Sara_ngambaye_sara_madjin_gaye_mbaye</t>
  </si>
  <si>
    <t>Ethnicity: Sara ngambaye sara madjin gaye mbaye</t>
  </si>
  <si>
    <t>member_women_HH</t>
  </si>
  <si>
    <t>Number of female HH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</si>
</sst>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#1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Sheet2!$B$3:$B$26</c:f>
              <c:strCache>
                <c:ptCount val="24"/>
                <c:pt idx="0">
                  <c:v>Contraceptive requires access to health facility</c:v>
                </c:pt>
                <c:pt idx="1">
                  <c:v>Involved in decision about own healthcare</c:v>
                </c:pt>
                <c:pt idx="2">
                  <c:v>Has access to electricity</c:v>
                </c:pt>
                <c:pt idx="3">
                  <c:v>Ethnicity: Kalenjin</c:v>
                </c:pt>
                <c:pt idx="4">
                  <c:v>Ethnicity: Sara ngambaye sara madjin gaye mbaye</c:v>
                </c:pt>
                <c:pt idx="5">
                  <c:v>Heard of STI</c:v>
                </c:pt>
                <c:pt idx="6">
                  <c:v>Language: Chichewa</c:v>
                </c:pt>
                <c:pt idx="7">
                  <c:v>Language: Krio</c:v>
                </c:pt>
                <c:pt idx="8">
                  <c:v>Language: Runyankole rukiga</c:v>
                </c:pt>
                <c:pt idx="9">
                  <c:v>*Currently working</c:v>
                </c:pt>
                <c:pt idx="10">
                  <c:v>Language: Yoruba</c:v>
                </c:pt>
                <c:pt idx="11">
                  <c:v>Not at all listens to radio</c:v>
                </c:pt>
                <c:pt idx="12">
                  <c:v>Time for HH to get to water source</c:v>
                </c:pt>
                <c:pt idx="13">
                  <c:v>Heard of family planning via any media form</c:v>
                </c:pt>
                <c:pt idx="14">
                  <c:v>Number of female HH members</c:v>
                </c:pt>
                <c:pt idx="15">
                  <c:v>Body Mass Index</c:v>
                </c:pt>
                <c:pt idx="16">
                  <c:v>Number of cattle owned</c:v>
                </c:pt>
                <c:pt idx="17">
                  <c:v>Health card for child</c:v>
                </c:pt>
                <c:pt idx="18">
                  <c:v>Number of male HH members</c:v>
                </c:pt>
                <c:pt idx="19">
                  <c:v>Tested for HIV</c:v>
                </c:pt>
                <c:pt idx="20">
                  <c:v>Number of HH members &lt;5 years</c:v>
                </c:pt>
                <c:pt idx="21">
                  <c:v>Number of mosquitonets</c:v>
                </c:pt>
                <c:pt idx="22">
                  <c:v>Ideal number of children</c:v>
                </c:pt>
                <c:pt idx="23">
                  <c:v>Number of HH members</c:v>
                </c:pt>
              </c:strCache>
            </c:strRef>
          </c:cat>
          <c:val>
            <c:numRef>
              <c:f>Sheet2!$C$3:$C$26</c:f>
              <c:numCache>
                <c:formatCode>General</c:formatCode>
                <c:ptCount val="24"/>
                <c:pt idx="6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3</c:v>
                </c:pt>
                <c:pt idx="22">
                  <c:v>2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C-455F-97CB-3C4437577EE2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#2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Sheet2!$B$3:$B$26</c:f>
              <c:strCache>
                <c:ptCount val="24"/>
                <c:pt idx="0">
                  <c:v>Contraceptive requires access to health facility</c:v>
                </c:pt>
                <c:pt idx="1">
                  <c:v>Involved in decision about own healthcare</c:v>
                </c:pt>
                <c:pt idx="2">
                  <c:v>Has access to electricity</c:v>
                </c:pt>
                <c:pt idx="3">
                  <c:v>Ethnicity: Kalenjin</c:v>
                </c:pt>
                <c:pt idx="4">
                  <c:v>Ethnicity: Sara ngambaye sara madjin gaye mbaye</c:v>
                </c:pt>
                <c:pt idx="5">
                  <c:v>Heard of STI</c:v>
                </c:pt>
                <c:pt idx="6">
                  <c:v>Language: Chichewa</c:v>
                </c:pt>
                <c:pt idx="7">
                  <c:v>Language: Krio</c:v>
                </c:pt>
                <c:pt idx="8">
                  <c:v>Language: Runyankole rukiga</c:v>
                </c:pt>
                <c:pt idx="9">
                  <c:v>*Currently working</c:v>
                </c:pt>
                <c:pt idx="10">
                  <c:v>Language: Yoruba</c:v>
                </c:pt>
                <c:pt idx="11">
                  <c:v>Not at all listens to radio</c:v>
                </c:pt>
                <c:pt idx="12">
                  <c:v>Time for HH to get to water source</c:v>
                </c:pt>
                <c:pt idx="13">
                  <c:v>Heard of family planning via any media form</c:v>
                </c:pt>
                <c:pt idx="14">
                  <c:v>Number of female HH members</c:v>
                </c:pt>
                <c:pt idx="15">
                  <c:v>Body Mass Index</c:v>
                </c:pt>
                <c:pt idx="16">
                  <c:v>Number of cattle owned</c:v>
                </c:pt>
                <c:pt idx="17">
                  <c:v>Health card for child</c:v>
                </c:pt>
                <c:pt idx="18">
                  <c:v>Number of male HH members</c:v>
                </c:pt>
                <c:pt idx="19">
                  <c:v>Tested for HIV</c:v>
                </c:pt>
                <c:pt idx="20">
                  <c:v>Number of HH members &lt;5 years</c:v>
                </c:pt>
                <c:pt idx="21">
                  <c:v>Number of mosquitonets</c:v>
                </c:pt>
                <c:pt idx="22">
                  <c:v>Ideal number of children</c:v>
                </c:pt>
                <c:pt idx="23">
                  <c:v>Number of HH members</c:v>
                </c:pt>
              </c:strCache>
            </c:strRef>
          </c:cat>
          <c:val>
            <c:numRef>
              <c:f>Sheet2!$D$3:$D$26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2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4</c:v>
                </c:pt>
                <c:pt idx="22">
                  <c:v>10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C-455F-97CB-3C4437577EE2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#3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Sheet2!$B$3:$B$26</c:f>
              <c:strCache>
                <c:ptCount val="24"/>
                <c:pt idx="0">
                  <c:v>Contraceptive requires access to health facility</c:v>
                </c:pt>
                <c:pt idx="1">
                  <c:v>Involved in decision about own healthcare</c:v>
                </c:pt>
                <c:pt idx="2">
                  <c:v>Has access to electricity</c:v>
                </c:pt>
                <c:pt idx="3">
                  <c:v>Ethnicity: Kalenjin</c:v>
                </c:pt>
                <c:pt idx="4">
                  <c:v>Ethnicity: Sara ngambaye sara madjin gaye mbaye</c:v>
                </c:pt>
                <c:pt idx="5">
                  <c:v>Heard of STI</c:v>
                </c:pt>
                <c:pt idx="6">
                  <c:v>Language: Chichewa</c:v>
                </c:pt>
                <c:pt idx="7">
                  <c:v>Language: Krio</c:v>
                </c:pt>
                <c:pt idx="8">
                  <c:v>Language: Runyankole rukiga</c:v>
                </c:pt>
                <c:pt idx="9">
                  <c:v>*Currently working</c:v>
                </c:pt>
                <c:pt idx="10">
                  <c:v>Language: Yoruba</c:v>
                </c:pt>
                <c:pt idx="11">
                  <c:v>Not at all listens to radio</c:v>
                </c:pt>
                <c:pt idx="12">
                  <c:v>Time for HH to get to water source</c:v>
                </c:pt>
                <c:pt idx="13">
                  <c:v>Heard of family planning via any media form</c:v>
                </c:pt>
                <c:pt idx="14">
                  <c:v>Number of female HH members</c:v>
                </c:pt>
                <c:pt idx="15">
                  <c:v>Body Mass Index</c:v>
                </c:pt>
                <c:pt idx="16">
                  <c:v>Number of cattle owned</c:v>
                </c:pt>
                <c:pt idx="17">
                  <c:v>Health card for child</c:v>
                </c:pt>
                <c:pt idx="18">
                  <c:v>Number of male HH members</c:v>
                </c:pt>
                <c:pt idx="19">
                  <c:v>Tested for HIV</c:v>
                </c:pt>
                <c:pt idx="20">
                  <c:v>Number of HH members &lt;5 years</c:v>
                </c:pt>
                <c:pt idx="21">
                  <c:v>Number of mosquitonets</c:v>
                </c:pt>
                <c:pt idx="22">
                  <c:v>Ideal number of children</c:v>
                </c:pt>
                <c:pt idx="23">
                  <c:v>Number of HH members</c:v>
                </c:pt>
              </c:strCache>
            </c:strRef>
          </c:cat>
          <c:val>
            <c:numRef>
              <c:f>Sheet2!$E$3:$E$26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9">
                  <c:v>1</c:v>
                </c:pt>
                <c:pt idx="16">
                  <c:v>1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C-455F-97CB-3C4437577EE2}"/>
            </c:ext>
          </c:extLst>
        </c:ser>
        <c:ser>
          <c:idx val="3"/>
          <c:order val="3"/>
          <c:tx>
            <c:strRef>
              <c:f>Sheet2!$F$2</c:f>
              <c:strCache>
                <c:ptCount val="1"/>
                <c:pt idx="0">
                  <c:v>#4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Sheet2!$B$3:$B$26</c:f>
              <c:strCache>
                <c:ptCount val="24"/>
                <c:pt idx="0">
                  <c:v>Contraceptive requires access to health facility</c:v>
                </c:pt>
                <c:pt idx="1">
                  <c:v>Involved in decision about own healthcare</c:v>
                </c:pt>
                <c:pt idx="2">
                  <c:v>Has access to electricity</c:v>
                </c:pt>
                <c:pt idx="3">
                  <c:v>Ethnicity: Kalenjin</c:v>
                </c:pt>
                <c:pt idx="4">
                  <c:v>Ethnicity: Sara ngambaye sara madjin gaye mbaye</c:v>
                </c:pt>
                <c:pt idx="5">
                  <c:v>Heard of STI</c:v>
                </c:pt>
                <c:pt idx="6">
                  <c:v>Language: Chichewa</c:v>
                </c:pt>
                <c:pt idx="7">
                  <c:v>Language: Krio</c:v>
                </c:pt>
                <c:pt idx="8">
                  <c:v>Language: Runyankole rukiga</c:v>
                </c:pt>
                <c:pt idx="9">
                  <c:v>*Currently working</c:v>
                </c:pt>
                <c:pt idx="10">
                  <c:v>Language: Yoruba</c:v>
                </c:pt>
                <c:pt idx="11">
                  <c:v>Not at all listens to radio</c:v>
                </c:pt>
                <c:pt idx="12">
                  <c:v>Time for HH to get to water source</c:v>
                </c:pt>
                <c:pt idx="13">
                  <c:v>Heard of family planning via any media form</c:v>
                </c:pt>
                <c:pt idx="14">
                  <c:v>Number of female HH members</c:v>
                </c:pt>
                <c:pt idx="15">
                  <c:v>Body Mass Index</c:v>
                </c:pt>
                <c:pt idx="16">
                  <c:v>Number of cattle owned</c:v>
                </c:pt>
                <c:pt idx="17">
                  <c:v>Health card for child</c:v>
                </c:pt>
                <c:pt idx="18">
                  <c:v>Number of male HH members</c:v>
                </c:pt>
                <c:pt idx="19">
                  <c:v>Tested for HIV</c:v>
                </c:pt>
                <c:pt idx="20">
                  <c:v>Number of HH members &lt;5 years</c:v>
                </c:pt>
                <c:pt idx="21">
                  <c:v>Number of mosquitonets</c:v>
                </c:pt>
                <c:pt idx="22">
                  <c:v>Ideal number of children</c:v>
                </c:pt>
                <c:pt idx="23">
                  <c:v>Number of HH members</c:v>
                </c:pt>
              </c:strCache>
            </c:strRef>
          </c:cat>
          <c:val>
            <c:numRef>
              <c:f>Sheet2!$F$3:$F$26</c:f>
              <c:numCache>
                <c:formatCode>General</c:formatCode>
                <c:ptCount val="24"/>
                <c:pt idx="5">
                  <c:v>1</c:v>
                </c:pt>
                <c:pt idx="8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5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C-455F-97CB-3C4437577EE2}"/>
            </c:ext>
          </c:extLst>
        </c:ser>
        <c:ser>
          <c:idx val="4"/>
          <c:order val="4"/>
          <c:tx>
            <c:strRef>
              <c:f>Sheet2!$G$2</c:f>
              <c:strCache>
                <c:ptCount val="1"/>
                <c:pt idx="0">
                  <c:v>#5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Sheet2!$B$3:$B$26</c:f>
              <c:strCache>
                <c:ptCount val="24"/>
                <c:pt idx="0">
                  <c:v>Contraceptive requires access to health facility</c:v>
                </c:pt>
                <c:pt idx="1">
                  <c:v>Involved in decision about own healthcare</c:v>
                </c:pt>
                <c:pt idx="2">
                  <c:v>Has access to electricity</c:v>
                </c:pt>
                <c:pt idx="3">
                  <c:v>Ethnicity: Kalenjin</c:v>
                </c:pt>
                <c:pt idx="4">
                  <c:v>Ethnicity: Sara ngambaye sara madjin gaye mbaye</c:v>
                </c:pt>
                <c:pt idx="5">
                  <c:v>Heard of STI</c:v>
                </c:pt>
                <c:pt idx="6">
                  <c:v>Language: Chichewa</c:v>
                </c:pt>
                <c:pt idx="7">
                  <c:v>Language: Krio</c:v>
                </c:pt>
                <c:pt idx="8">
                  <c:v>Language: Runyankole rukiga</c:v>
                </c:pt>
                <c:pt idx="9">
                  <c:v>*Currently working</c:v>
                </c:pt>
                <c:pt idx="10">
                  <c:v>Language: Yoruba</c:v>
                </c:pt>
                <c:pt idx="11">
                  <c:v>Not at all listens to radio</c:v>
                </c:pt>
                <c:pt idx="12">
                  <c:v>Time for HH to get to water source</c:v>
                </c:pt>
                <c:pt idx="13">
                  <c:v>Heard of family planning via any media form</c:v>
                </c:pt>
                <c:pt idx="14">
                  <c:v>Number of female HH members</c:v>
                </c:pt>
                <c:pt idx="15">
                  <c:v>Body Mass Index</c:v>
                </c:pt>
                <c:pt idx="16">
                  <c:v>Number of cattle owned</c:v>
                </c:pt>
                <c:pt idx="17">
                  <c:v>Health card for child</c:v>
                </c:pt>
                <c:pt idx="18">
                  <c:v>Number of male HH members</c:v>
                </c:pt>
                <c:pt idx="19">
                  <c:v>Tested for HIV</c:v>
                </c:pt>
                <c:pt idx="20">
                  <c:v>Number of HH members &lt;5 years</c:v>
                </c:pt>
                <c:pt idx="21">
                  <c:v>Number of mosquitonets</c:v>
                </c:pt>
                <c:pt idx="22">
                  <c:v>Ideal number of children</c:v>
                </c:pt>
                <c:pt idx="23">
                  <c:v>Number of HH members</c:v>
                </c:pt>
              </c:strCache>
            </c:strRef>
          </c:cat>
          <c:val>
            <c:numRef>
              <c:f>Sheet2!$G$3:$G$26</c:f>
              <c:numCache>
                <c:formatCode>General</c:formatCode>
                <c:ptCount val="24"/>
                <c:pt idx="4">
                  <c:v>1</c:v>
                </c:pt>
                <c:pt idx="7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C-455F-97CB-3C443757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116604719"/>
        <c:axId val="2116605135"/>
      </c:barChart>
      <c:catAx>
        <c:axId val="21166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5135"/>
        <c:crosses val="autoZero"/>
        <c:auto val="1"/>
        <c:lblAlgn val="ctr"/>
        <c:lblOffset val="100"/>
        <c:noMultiLvlLbl val="0"/>
      </c:catAx>
      <c:valAx>
        <c:axId val="2116605135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times variable was ranked top 5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616324</xdr:colOff>
      <xdr:row>1</xdr:row>
      <xdr:rowOff>138113</xdr:rowOff>
    </xdr:from>
    <xdr:to>
      <xdr:col>18</xdr:col>
      <xdr:colOff>526676</xdr:colOff>
      <xdr:row>30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2BE78-514B-4872-BED1-95EF87E21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izzo  Kathrin" refreshedDate="45666.90620902778" createdVersion="7" refreshedVersion="7" minRefreshableVersion="3" recordCount="31" xr:uid="{EBF147C1-53D1-437F-BB92-EE99155276E7}">
  <cacheSource type="worksheet">
    <worksheetSource ref="A1:G32" sheet="Sheet3"/>
  </cacheSource>
  <cacheFields count="7">
    <cacheField name="Variable" numFmtId="0">
      <sharedItems count="31">
        <s v="XGBoost_Benin"/>
        <s v="XGBoost_Burkina.Faso"/>
        <s v="XGBoost_Burundi"/>
        <s v="XGBoost_Cameroon"/>
        <s v="XGBoost_Chad"/>
        <s v="XGBoost_Cote.dIvoire"/>
        <s v="XGBoost_DRC"/>
        <s v="XGBoost_Eswatini"/>
        <s v="XGBoost_Ethiopia"/>
        <s v="XGBoost_Ghana"/>
        <s v="XGBoost_Guinea"/>
        <s v="XGBoost_Kenya"/>
        <s v="XGBoost_Lesotho"/>
        <s v="XGBoost_Liberia"/>
        <s v="XGBoost_Madagascar"/>
        <s v="XGBoost_Malawi"/>
        <s v="XGBoost_Mali"/>
        <s v="XGBoost_Mauritania"/>
        <s v="XGBoost_Namibia"/>
        <s v="XGBoost_Niger"/>
        <s v="XGBoost_Nigeria"/>
        <s v="XGBoost_Republic.of.the.Congo"/>
        <s v="XGBoost_Rwanda"/>
        <s v="XGBoost_Senegal"/>
        <s v="XGBoost_Sierra.Leone"/>
        <s v="XGBoost_Tanzania"/>
        <s v="XGBoost_The.Gambia"/>
        <s v="XGBoost_Togo"/>
        <s v="XGBoost_Uganda"/>
        <s v="XGBoost_Zambia"/>
        <s v="XGBoost_Zimbabwe"/>
      </sharedItems>
    </cacheField>
    <cacheField name="V1" numFmtId="0">
      <sharedItems count="11">
        <s v="member_all_HH"/>
        <s v="cattle"/>
        <s v="ideal_nr_children"/>
        <s v="heard_family_planning"/>
        <s v="health_card"/>
        <s v="water_time"/>
        <s v="bmi"/>
        <s v="ethnicity_Mole_dagbani"/>
        <s v="ethnicity_Kalenjin"/>
        <s v="locationBirth"/>
        <s v="language_Chichewa"/>
      </sharedItems>
    </cacheField>
    <cacheField name="V2" numFmtId="0">
      <sharedItems count="11">
        <s v="ideal_nr_children"/>
        <s v="water_time"/>
        <s v="member_all_HH"/>
        <s v="tested_HIV"/>
        <s v="locationBirth"/>
        <s v="heard_sti"/>
        <s v="bmi"/>
        <s v="cattle"/>
        <s v="currently_working"/>
        <s v="mosquitonets_nr"/>
        <s v="language_Runyankole_rukiga"/>
      </sharedItems>
    </cacheField>
    <cacheField name="V3" numFmtId="0">
      <sharedItems count="12">
        <s v="mosquitonets_nr"/>
        <s v="member_all_HH"/>
        <s v="locationBirth"/>
        <s v="language_Bamoun"/>
        <s v="health_card"/>
        <s v="ideal_nr_children"/>
        <s v="heard_tuberculosis"/>
        <s v="currently_working"/>
        <s v="tested_HIV"/>
        <s v="member_child_under_5"/>
        <s v="cattle"/>
        <s v="listen_radio"/>
      </sharedItems>
    </cacheField>
    <cacheField name="V4" numFmtId="0">
      <sharedItems count="17">
        <s v="member_child_under_5"/>
        <s v="ideal_nr_children"/>
        <s v="member_men_HH"/>
        <s v="soap"/>
        <s v="mosquitonets_nr"/>
        <s v="ethnicity_Bas_kasai_et_kwilu_kwngo"/>
        <s v="locationBirth"/>
        <s v="ethnicity_Akan"/>
        <s v="ethnicity_Turkana"/>
        <s v="listen_radio"/>
        <s v="heard_family_planning"/>
        <s v="language_Yoruba"/>
        <s v="cattle"/>
        <s v="tested_HIV"/>
        <s v="language_Krio"/>
        <s v="contraceptive_health_care"/>
        <s v="member_all_HH"/>
      </sharedItems>
    </cacheField>
    <cacheField name="V5" numFmtId="0">
      <sharedItems count="17">
        <s v="member_men_HH"/>
        <s v="health_card"/>
        <s v="member_child_under_5"/>
        <s v="terminated_pregnancy"/>
        <s v="drinking_water"/>
        <s v="mosquitonets_nr"/>
        <s v="tested_HIV"/>
        <s v="ethnicity_Somali"/>
        <s v="contraceptive_health_care"/>
        <s v="locationBirth"/>
        <s v="language_Poular"/>
        <s v="bankaccount"/>
        <s v="education_no_edu"/>
        <s v="safe_toilet_facility"/>
        <s v="member_all_HH"/>
        <s v="rural"/>
        <s v="decides_health_care"/>
      </sharedItems>
    </cacheField>
    <cacheField name="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x v="0"/>
    <x v="0"/>
    <x v="0"/>
    <n v="1"/>
  </r>
  <r>
    <x v="1"/>
    <x v="1"/>
    <x v="1"/>
    <x v="1"/>
    <x v="1"/>
    <x v="1"/>
    <n v="1"/>
  </r>
  <r>
    <x v="2"/>
    <x v="2"/>
    <x v="2"/>
    <x v="2"/>
    <x v="2"/>
    <x v="2"/>
    <n v="1"/>
  </r>
  <r>
    <x v="3"/>
    <x v="3"/>
    <x v="3"/>
    <x v="3"/>
    <x v="3"/>
    <x v="3"/>
    <n v="1"/>
  </r>
  <r>
    <x v="4"/>
    <x v="0"/>
    <x v="4"/>
    <x v="4"/>
    <x v="4"/>
    <x v="2"/>
    <n v="1"/>
  </r>
  <r>
    <x v="5"/>
    <x v="4"/>
    <x v="0"/>
    <x v="1"/>
    <x v="4"/>
    <x v="4"/>
    <n v="1"/>
  </r>
  <r>
    <x v="6"/>
    <x v="5"/>
    <x v="0"/>
    <x v="1"/>
    <x v="5"/>
    <x v="5"/>
    <n v="1"/>
  </r>
  <r>
    <x v="7"/>
    <x v="6"/>
    <x v="2"/>
    <x v="5"/>
    <x v="2"/>
    <x v="2"/>
    <n v="1"/>
  </r>
  <r>
    <x v="8"/>
    <x v="6"/>
    <x v="0"/>
    <x v="1"/>
    <x v="6"/>
    <x v="6"/>
    <n v="1"/>
  </r>
  <r>
    <x v="9"/>
    <x v="7"/>
    <x v="2"/>
    <x v="6"/>
    <x v="7"/>
    <x v="1"/>
    <n v="1"/>
  </r>
  <r>
    <x v="10"/>
    <x v="0"/>
    <x v="5"/>
    <x v="0"/>
    <x v="0"/>
    <x v="0"/>
    <n v="1"/>
  </r>
  <r>
    <x v="11"/>
    <x v="8"/>
    <x v="6"/>
    <x v="5"/>
    <x v="8"/>
    <x v="7"/>
    <n v="1"/>
  </r>
  <r>
    <x v="12"/>
    <x v="0"/>
    <x v="7"/>
    <x v="5"/>
    <x v="0"/>
    <x v="0"/>
    <n v="1"/>
  </r>
  <r>
    <x v="13"/>
    <x v="9"/>
    <x v="2"/>
    <x v="7"/>
    <x v="1"/>
    <x v="8"/>
    <n v="1"/>
  </r>
  <r>
    <x v="14"/>
    <x v="3"/>
    <x v="3"/>
    <x v="2"/>
    <x v="9"/>
    <x v="5"/>
    <n v="1"/>
  </r>
  <r>
    <x v="15"/>
    <x v="10"/>
    <x v="8"/>
    <x v="1"/>
    <x v="1"/>
    <x v="5"/>
    <n v="1"/>
  </r>
  <r>
    <x v="16"/>
    <x v="0"/>
    <x v="9"/>
    <x v="8"/>
    <x v="10"/>
    <x v="9"/>
    <n v="1"/>
  </r>
  <r>
    <x v="17"/>
    <x v="0"/>
    <x v="9"/>
    <x v="9"/>
    <x v="6"/>
    <x v="10"/>
    <n v="1"/>
  </r>
  <r>
    <x v="18"/>
    <x v="0"/>
    <x v="0"/>
    <x v="10"/>
    <x v="0"/>
    <x v="11"/>
    <n v="1"/>
  </r>
  <r>
    <x v="19"/>
    <x v="4"/>
    <x v="0"/>
    <x v="1"/>
    <x v="6"/>
    <x v="6"/>
    <n v="1"/>
  </r>
  <r>
    <x v="20"/>
    <x v="2"/>
    <x v="2"/>
    <x v="0"/>
    <x v="11"/>
    <x v="12"/>
    <n v="1"/>
  </r>
  <r>
    <x v="21"/>
    <x v="0"/>
    <x v="0"/>
    <x v="2"/>
    <x v="4"/>
    <x v="2"/>
    <n v="1"/>
  </r>
  <r>
    <x v="22"/>
    <x v="0"/>
    <x v="0"/>
    <x v="0"/>
    <x v="12"/>
    <x v="13"/>
    <n v="1"/>
  </r>
  <r>
    <x v="23"/>
    <x v="9"/>
    <x v="2"/>
    <x v="0"/>
    <x v="13"/>
    <x v="2"/>
    <n v="1"/>
  </r>
  <r>
    <x v="24"/>
    <x v="0"/>
    <x v="0"/>
    <x v="2"/>
    <x v="14"/>
    <x v="5"/>
    <n v="1"/>
  </r>
  <r>
    <x v="25"/>
    <x v="6"/>
    <x v="4"/>
    <x v="5"/>
    <x v="15"/>
    <x v="14"/>
    <n v="1"/>
  </r>
  <r>
    <x v="26"/>
    <x v="0"/>
    <x v="9"/>
    <x v="9"/>
    <x v="2"/>
    <x v="15"/>
    <n v="1"/>
  </r>
  <r>
    <x v="27"/>
    <x v="4"/>
    <x v="4"/>
    <x v="8"/>
    <x v="16"/>
    <x v="16"/>
    <n v="1"/>
  </r>
  <r>
    <x v="28"/>
    <x v="9"/>
    <x v="10"/>
    <x v="5"/>
    <x v="16"/>
    <x v="2"/>
    <n v="1"/>
  </r>
  <r>
    <x v="29"/>
    <x v="2"/>
    <x v="2"/>
    <x v="11"/>
    <x v="4"/>
    <x v="8"/>
    <n v="1"/>
  </r>
  <r>
    <x v="30"/>
    <x v="6"/>
    <x v="2"/>
    <x v="5"/>
    <x v="12"/>
    <x v="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45BF-ADBC-47F8-B973-8839F21AEA7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:J19" firstHeaderRow="1" firstDataRow="1" firstDataCol="1"/>
  <pivotFields count="7">
    <pivotField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12">
        <item x="6"/>
        <item x="1"/>
        <item x="8"/>
        <item x="7"/>
        <item x="4"/>
        <item x="3"/>
        <item x="2"/>
        <item x="10"/>
        <item x="9"/>
        <item x="0"/>
        <item x="5"/>
        <item t="default"/>
      </items>
    </pivotField>
    <pivotField showAll="0">
      <items count="12">
        <item x="6"/>
        <item x="7"/>
        <item x="8"/>
        <item x="5"/>
        <item x="0"/>
        <item x="10"/>
        <item x="4"/>
        <item x="2"/>
        <item x="9"/>
        <item x="3"/>
        <item x="1"/>
        <item t="default"/>
      </items>
    </pivotField>
    <pivotField showAll="0">
      <items count="13">
        <item x="10"/>
        <item x="7"/>
        <item x="4"/>
        <item x="6"/>
        <item x="5"/>
        <item x="3"/>
        <item x="11"/>
        <item x="2"/>
        <item x="1"/>
        <item x="9"/>
        <item x="0"/>
        <item x="8"/>
        <item t="default"/>
      </items>
    </pivotField>
    <pivotField showAll="0">
      <items count="18">
        <item x="12"/>
        <item x="15"/>
        <item x="7"/>
        <item x="5"/>
        <item x="8"/>
        <item x="10"/>
        <item x="1"/>
        <item x="14"/>
        <item x="11"/>
        <item x="9"/>
        <item x="6"/>
        <item x="16"/>
        <item x="0"/>
        <item x="2"/>
        <item x="4"/>
        <item x="3"/>
        <item x="13"/>
        <item t="default"/>
      </items>
    </pivotField>
    <pivotField axis="axisRow" showAll="0">
      <items count="18">
        <item x="11"/>
        <item x="8"/>
        <item x="16"/>
        <item x="4"/>
        <item x="12"/>
        <item x="7"/>
        <item x="1"/>
        <item x="10"/>
        <item x="9"/>
        <item x="14"/>
        <item x="2"/>
        <item x="0"/>
        <item x="5"/>
        <item x="15"/>
        <item x="13"/>
        <item x="3"/>
        <item x="6"/>
        <item t="default"/>
      </items>
    </pivotField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Variab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2434-FDDC-45CD-BEC6-0B8EC15B1395}">
  <dimension ref="A1:AI62"/>
  <sheetViews>
    <sheetView tabSelected="1" zoomScale="85" zoomScaleNormal="85" workbookViewId="0">
      <selection activeCell="H30" sqref="H30"/>
    </sheetView>
  </sheetViews>
  <sheetFormatPr defaultColWidth="8.7109375" defaultRowHeight="15" x14ac:dyDescent="0.25"/>
  <cols>
    <col min="2" max="2" width="35" customWidth="1"/>
    <col min="4" max="4" width="12.28515625" customWidth="1"/>
    <col min="9" max="9" width="14.7109375" customWidth="1"/>
  </cols>
  <sheetData>
    <row r="1" spans="1:35" x14ac:dyDescent="0.25">
      <c r="B1" t="s">
        <v>42</v>
      </c>
    </row>
    <row r="2" spans="1:35" x14ac:dyDescent="0.25"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T2" s="3"/>
      <c r="AB2" s="3"/>
      <c r="AE2" s="3"/>
    </row>
    <row r="3" spans="1:35" x14ac:dyDescent="0.25">
      <c r="A3" s="3" t="s">
        <v>128</v>
      </c>
      <c r="B3" t="s">
        <v>146</v>
      </c>
      <c r="E3">
        <v>1</v>
      </c>
      <c r="H3">
        <f>SUM(C3:G3)</f>
        <v>1</v>
      </c>
      <c r="I3" s="4"/>
      <c r="J3" s="3"/>
      <c r="T3" s="3"/>
      <c r="AB3" s="3"/>
      <c r="AE3" s="3"/>
    </row>
    <row r="4" spans="1:35" x14ac:dyDescent="0.25">
      <c r="A4" s="3" t="s">
        <v>135</v>
      </c>
      <c r="B4" t="s">
        <v>147</v>
      </c>
      <c r="E4">
        <v>1</v>
      </c>
      <c r="H4">
        <f>SUM(C4:G4)</f>
        <v>1</v>
      </c>
      <c r="I4" s="4"/>
      <c r="J4" s="3"/>
      <c r="T4" s="3"/>
      <c r="AB4" s="3"/>
      <c r="AD4" s="3"/>
      <c r="AE4" s="3"/>
      <c r="AF4" s="3"/>
      <c r="AH4" s="3"/>
    </row>
    <row r="5" spans="1:35" x14ac:dyDescent="0.25">
      <c r="A5" s="3" t="s">
        <v>160</v>
      </c>
      <c r="B5" t="s">
        <v>161</v>
      </c>
      <c r="E5">
        <v>1</v>
      </c>
      <c r="H5">
        <f>SUM(C5:G5)</f>
        <v>1</v>
      </c>
      <c r="I5" s="4"/>
      <c r="J5" s="3"/>
      <c r="T5" s="3"/>
      <c r="U5" s="3"/>
      <c r="AB5" s="3"/>
      <c r="AD5" s="3"/>
      <c r="AE5" s="3"/>
      <c r="AH5" s="3"/>
    </row>
    <row r="6" spans="1:35" x14ac:dyDescent="0.25">
      <c r="A6" s="3" t="s">
        <v>124</v>
      </c>
      <c r="B6" s="3" t="s">
        <v>142</v>
      </c>
      <c r="E6">
        <v>1</v>
      </c>
      <c r="H6">
        <f>SUM(C6:G6)</f>
        <v>1</v>
      </c>
      <c r="I6" s="4"/>
      <c r="J6" s="3"/>
      <c r="T6" s="3"/>
      <c r="U6" s="3"/>
      <c r="AB6" s="3"/>
      <c r="AD6" s="3"/>
      <c r="AE6" s="3"/>
      <c r="AH6" s="3"/>
    </row>
    <row r="7" spans="1:35" x14ac:dyDescent="0.25">
      <c r="A7" s="3" t="s">
        <v>162</v>
      </c>
      <c r="B7" s="3" t="s">
        <v>163</v>
      </c>
      <c r="G7">
        <v>1</v>
      </c>
      <c r="H7">
        <f>SUM(C7:G7)</f>
        <v>1</v>
      </c>
      <c r="I7" s="4"/>
      <c r="J7" s="3"/>
      <c r="T7" s="3"/>
      <c r="U7" s="3"/>
      <c r="AB7" s="3"/>
      <c r="AC7" s="3"/>
      <c r="AD7" s="3"/>
      <c r="AE7" s="3"/>
      <c r="AH7" s="3"/>
      <c r="AI7" s="3"/>
    </row>
    <row r="8" spans="1:35" x14ac:dyDescent="0.25">
      <c r="A8" s="3" t="s">
        <v>123</v>
      </c>
      <c r="B8" s="3" t="s">
        <v>154</v>
      </c>
      <c r="F8">
        <v>1</v>
      </c>
      <c r="H8">
        <f>SUM(C8:G8)</f>
        <v>1</v>
      </c>
      <c r="I8" s="4"/>
      <c r="J8" s="3"/>
      <c r="T8" s="3"/>
      <c r="U8" s="3"/>
      <c r="AB8" s="3"/>
      <c r="AC8" s="3"/>
      <c r="AD8" s="3"/>
      <c r="AE8" s="3"/>
      <c r="AH8" s="3"/>
      <c r="AI8" s="3"/>
    </row>
    <row r="9" spans="1:35" x14ac:dyDescent="0.25">
      <c r="A9" s="3" t="s">
        <v>130</v>
      </c>
      <c r="B9" s="3" t="s">
        <v>140</v>
      </c>
      <c r="C9">
        <v>1</v>
      </c>
      <c r="H9">
        <f>SUM(C9:G9)</f>
        <v>1</v>
      </c>
      <c r="I9" s="4"/>
      <c r="J9" s="3"/>
      <c r="T9" s="3"/>
      <c r="U9" s="3"/>
      <c r="AB9" s="3"/>
      <c r="AD9" s="3"/>
      <c r="AE9" s="3"/>
      <c r="AF9" s="3"/>
      <c r="AH9" s="3"/>
      <c r="AI9" s="3"/>
    </row>
    <row r="10" spans="1:35" x14ac:dyDescent="0.25">
      <c r="A10" s="3" t="s">
        <v>134</v>
      </c>
      <c r="B10" s="3" t="s">
        <v>145</v>
      </c>
      <c r="G10">
        <v>1</v>
      </c>
      <c r="H10">
        <f>SUM(C10:G10)</f>
        <v>1</v>
      </c>
      <c r="I10" s="4"/>
      <c r="J10" s="3"/>
      <c r="T10" s="3"/>
      <c r="U10" s="3"/>
      <c r="AB10" s="3"/>
      <c r="AC10" s="3"/>
      <c r="AD10" s="3"/>
      <c r="AE10" s="3"/>
      <c r="AF10" s="3"/>
      <c r="AH10" s="3"/>
      <c r="AI10" s="3"/>
    </row>
    <row r="11" spans="1:35" x14ac:dyDescent="0.25">
      <c r="A11" s="3" t="s">
        <v>136</v>
      </c>
      <c r="B11" s="3" t="s">
        <v>141</v>
      </c>
      <c r="F11">
        <v>1</v>
      </c>
      <c r="H11">
        <f>SUM(C11:G11)</f>
        <v>1</v>
      </c>
      <c r="I11" s="4"/>
      <c r="J11" s="3"/>
      <c r="T11" s="3"/>
      <c r="U11" s="3"/>
      <c r="AB11" s="3"/>
      <c r="AC11" s="3"/>
      <c r="AD11" s="3"/>
      <c r="AE11" s="3"/>
      <c r="AH11" s="3"/>
      <c r="AI11" s="3"/>
    </row>
    <row r="12" spans="1:35" x14ac:dyDescent="0.25">
      <c r="A12" s="3" t="s">
        <v>127</v>
      </c>
      <c r="B12" t="s">
        <v>137</v>
      </c>
      <c r="D12">
        <v>1</v>
      </c>
      <c r="E12">
        <v>1</v>
      </c>
      <c r="H12">
        <f>SUM(C12:G12)</f>
        <v>2</v>
      </c>
      <c r="I12" s="4"/>
      <c r="J12" s="3"/>
      <c r="T12" s="3"/>
      <c r="U12" s="3"/>
      <c r="AB12" s="3"/>
      <c r="AC12" s="3"/>
      <c r="AD12" s="3"/>
      <c r="AE12" s="3"/>
      <c r="AH12" s="3"/>
    </row>
    <row r="13" spans="1:35" x14ac:dyDescent="0.25">
      <c r="A13" s="3" t="s">
        <v>132</v>
      </c>
      <c r="B13" s="3" t="s">
        <v>151</v>
      </c>
      <c r="D13">
        <v>2</v>
      </c>
      <c r="H13">
        <f>SUM(C13:G13)</f>
        <v>2</v>
      </c>
      <c r="I13" s="4"/>
      <c r="J13" s="3"/>
      <c r="T13" s="3"/>
      <c r="U13" s="3"/>
      <c r="AB13" s="3"/>
      <c r="AE13" s="3"/>
    </row>
    <row r="14" spans="1:35" x14ac:dyDescent="0.25">
      <c r="A14" s="3" t="s">
        <v>129</v>
      </c>
      <c r="B14" s="3" t="s">
        <v>144</v>
      </c>
      <c r="F14">
        <v>2</v>
      </c>
      <c r="H14">
        <f>SUM(C14:G14)</f>
        <v>2</v>
      </c>
      <c r="I14" s="4"/>
      <c r="J14" s="3"/>
      <c r="T14" s="3"/>
      <c r="AB14" s="3"/>
      <c r="AE14" s="3"/>
    </row>
    <row r="15" spans="1:35" x14ac:dyDescent="0.25">
      <c r="A15" s="3" t="s">
        <v>41</v>
      </c>
      <c r="B15" t="s">
        <v>61</v>
      </c>
      <c r="C15">
        <v>1</v>
      </c>
      <c r="D15">
        <v>1</v>
      </c>
      <c r="H15">
        <f>SUM(C15:G15)</f>
        <v>2</v>
      </c>
      <c r="I15" s="4"/>
      <c r="J15" s="3"/>
      <c r="T15" s="3"/>
      <c r="AB15" s="3"/>
      <c r="AD15" s="3"/>
      <c r="AE15" s="3"/>
      <c r="AH15" s="3"/>
    </row>
    <row r="16" spans="1:35" x14ac:dyDescent="0.25">
      <c r="A16" s="3" t="s">
        <v>34</v>
      </c>
      <c r="B16" s="3" t="s">
        <v>107</v>
      </c>
      <c r="C16">
        <v>1</v>
      </c>
      <c r="F16">
        <v>1</v>
      </c>
      <c r="G16">
        <v>1</v>
      </c>
      <c r="H16">
        <f>SUM(C16:G16)</f>
        <v>3</v>
      </c>
      <c r="I16" s="4"/>
      <c r="J16" s="3"/>
      <c r="T16" s="3"/>
      <c r="AB16" s="3"/>
      <c r="AD16" s="3"/>
      <c r="AE16" s="3"/>
      <c r="AF16" s="3"/>
      <c r="AH16" s="3"/>
      <c r="AI16" s="3"/>
    </row>
    <row r="17" spans="1:35" x14ac:dyDescent="0.25">
      <c r="A17" s="3" t="s">
        <v>164</v>
      </c>
      <c r="B17" t="s">
        <v>165</v>
      </c>
      <c r="F17">
        <v>1</v>
      </c>
      <c r="G17">
        <v>2</v>
      </c>
      <c r="H17">
        <f>SUM(C17:G17)</f>
        <v>3</v>
      </c>
      <c r="I17" s="4"/>
      <c r="J17" s="3"/>
      <c r="T17" s="3"/>
      <c r="AB17" s="3"/>
      <c r="AD17" s="3"/>
      <c r="AE17" s="3"/>
      <c r="AH17" s="3"/>
      <c r="AI17" s="3"/>
    </row>
    <row r="18" spans="1:35" x14ac:dyDescent="0.25">
      <c r="A18" s="3" t="s">
        <v>40</v>
      </c>
      <c r="B18" t="s">
        <v>64</v>
      </c>
      <c r="C18">
        <v>4</v>
      </c>
      <c r="G18">
        <v>1</v>
      </c>
      <c r="H18">
        <f>SUM(C18:G18)</f>
        <v>5</v>
      </c>
      <c r="I18" s="4"/>
      <c r="J18" s="3"/>
      <c r="T18" s="3"/>
      <c r="AB18" s="3"/>
      <c r="AC18" s="3"/>
      <c r="AD18" s="3"/>
      <c r="AE18" s="3"/>
      <c r="AH18" s="3"/>
      <c r="AI18" s="3"/>
    </row>
    <row r="19" spans="1:35" x14ac:dyDescent="0.25">
      <c r="A19" s="3" t="s">
        <v>38</v>
      </c>
      <c r="B19" t="s">
        <v>60</v>
      </c>
      <c r="C19">
        <v>1</v>
      </c>
      <c r="D19">
        <v>1</v>
      </c>
      <c r="E19">
        <v>1</v>
      </c>
      <c r="G19">
        <v>3</v>
      </c>
      <c r="H19">
        <f>SUM(C19:G19)</f>
        <v>6</v>
      </c>
      <c r="I19" s="4"/>
      <c r="J19" s="3"/>
      <c r="T19" s="3"/>
      <c r="U19" s="3"/>
      <c r="AB19" s="3"/>
      <c r="AC19" s="3"/>
      <c r="AD19" s="3"/>
      <c r="AE19" s="3"/>
      <c r="AH19" s="3"/>
      <c r="AI19" s="3"/>
    </row>
    <row r="20" spans="1:35" x14ac:dyDescent="0.25">
      <c r="A20" s="3" t="s">
        <v>108</v>
      </c>
      <c r="B20" t="s">
        <v>113</v>
      </c>
      <c r="C20">
        <v>3</v>
      </c>
      <c r="D20">
        <v>1</v>
      </c>
      <c r="F20">
        <v>2</v>
      </c>
      <c r="H20">
        <f>SUM(C20:G20)</f>
        <v>6</v>
      </c>
      <c r="I20" s="4"/>
      <c r="J20" s="3"/>
      <c r="T20" s="3"/>
      <c r="AB20" s="3"/>
      <c r="AD20" s="3"/>
      <c r="AE20" s="3"/>
      <c r="AH20" s="3"/>
      <c r="AI20" s="3"/>
    </row>
    <row r="21" spans="1:35" x14ac:dyDescent="0.25">
      <c r="A21" s="3" t="s">
        <v>109</v>
      </c>
      <c r="B21" t="s">
        <v>112</v>
      </c>
      <c r="F21">
        <v>2</v>
      </c>
      <c r="G21">
        <v>4</v>
      </c>
      <c r="H21">
        <f>SUM(C21:G21)</f>
        <v>6</v>
      </c>
      <c r="I21" s="4"/>
      <c r="J21" s="3"/>
      <c r="T21" s="3"/>
      <c r="AB21" s="3"/>
      <c r="AE21" s="3"/>
    </row>
    <row r="22" spans="1:35" x14ac:dyDescent="0.25">
      <c r="A22" s="3" t="s">
        <v>33</v>
      </c>
      <c r="B22" t="s">
        <v>59</v>
      </c>
      <c r="D22">
        <v>1</v>
      </c>
      <c r="F22">
        <v>3</v>
      </c>
      <c r="G22">
        <v>3</v>
      </c>
      <c r="H22">
        <f>SUM(C22:G22)</f>
        <v>7</v>
      </c>
      <c r="I22" s="4"/>
      <c r="J22" s="3"/>
      <c r="T22" s="3"/>
      <c r="AB22" s="3"/>
      <c r="AE22" s="3"/>
    </row>
    <row r="23" spans="1:35" x14ac:dyDescent="0.25">
      <c r="A23" s="3" t="s">
        <v>36</v>
      </c>
      <c r="B23" t="s">
        <v>62</v>
      </c>
      <c r="E23">
        <v>4</v>
      </c>
      <c r="F23">
        <v>5</v>
      </c>
      <c r="G23">
        <v>3</v>
      </c>
      <c r="H23">
        <f>SUM(C23:G23)</f>
        <v>12</v>
      </c>
      <c r="I23" s="4"/>
      <c r="J23" s="3"/>
      <c r="T23" s="3"/>
      <c r="AB23" s="3"/>
      <c r="AE23" s="3"/>
    </row>
    <row r="24" spans="1:35" x14ac:dyDescent="0.25">
      <c r="A24" s="3" t="s">
        <v>37</v>
      </c>
      <c r="B24" t="s">
        <v>63</v>
      </c>
      <c r="D24">
        <v>4</v>
      </c>
      <c r="E24">
        <v>7</v>
      </c>
      <c r="F24">
        <v>5</v>
      </c>
      <c r="G24">
        <v>3</v>
      </c>
      <c r="H24">
        <f>SUM(C24:G24)</f>
        <v>19</v>
      </c>
      <c r="I24" s="4"/>
      <c r="J24" s="3"/>
      <c r="T24" s="3"/>
      <c r="AB24" s="3"/>
      <c r="AD24" s="3"/>
      <c r="AE24" s="3"/>
      <c r="AH24" s="3"/>
    </row>
    <row r="25" spans="1:35" x14ac:dyDescent="0.25">
      <c r="A25" s="3" t="s">
        <v>39</v>
      </c>
      <c r="B25" t="s">
        <v>65</v>
      </c>
      <c r="C25">
        <v>2</v>
      </c>
      <c r="D25">
        <v>10</v>
      </c>
      <c r="E25">
        <v>6</v>
      </c>
      <c r="F25">
        <v>2</v>
      </c>
      <c r="G25">
        <v>2</v>
      </c>
      <c r="H25">
        <f>SUM(C25:G25)</f>
        <v>22</v>
      </c>
      <c r="T25" s="3"/>
      <c r="AB25" s="3"/>
      <c r="AE25" s="3"/>
      <c r="AF25" s="3"/>
      <c r="AI25" s="3"/>
    </row>
    <row r="26" spans="1:35" x14ac:dyDescent="0.25">
      <c r="A26" s="3" t="s">
        <v>35</v>
      </c>
      <c r="B26" t="s">
        <v>67</v>
      </c>
      <c r="C26">
        <v>13</v>
      </c>
      <c r="D26">
        <v>4</v>
      </c>
      <c r="E26">
        <v>7</v>
      </c>
      <c r="F26">
        <v>2</v>
      </c>
      <c r="G26">
        <v>3</v>
      </c>
      <c r="H26">
        <f>SUM(C26:G26)</f>
        <v>29</v>
      </c>
      <c r="O26" s="3"/>
      <c r="AB26" s="3"/>
      <c r="AD26" s="3"/>
      <c r="AF26" s="3"/>
      <c r="AH26" s="3"/>
    </row>
    <row r="27" spans="1:35" x14ac:dyDescent="0.25">
      <c r="A27" s="3"/>
      <c r="O27" s="3"/>
      <c r="AB27" s="3"/>
      <c r="AD27" s="3"/>
      <c r="AF27" s="3"/>
      <c r="AH27" s="3"/>
    </row>
    <row r="28" spans="1:35" x14ac:dyDescent="0.25">
      <c r="A28" s="3"/>
      <c r="I28" s="4"/>
    </row>
    <row r="29" spans="1:35" x14ac:dyDescent="0.25">
      <c r="A29" s="3"/>
      <c r="C29">
        <f>SUM(C3:C28)</f>
        <v>26</v>
      </c>
      <c r="D29">
        <f>SUM(D3:D28)</f>
        <v>25</v>
      </c>
      <c r="E29">
        <f>SUM(E3:E28)</f>
        <v>30</v>
      </c>
      <c r="F29">
        <f>SUM(F3:F28)</f>
        <v>27</v>
      </c>
      <c r="G29">
        <f>SUM(G3:G28)</f>
        <v>27</v>
      </c>
      <c r="I29" s="4"/>
      <c r="AD29" s="3"/>
      <c r="AH29" s="3"/>
    </row>
    <row r="30" spans="1:35" x14ac:dyDescent="0.25">
      <c r="A30" s="3"/>
      <c r="I30" s="4"/>
      <c r="AD30" s="3"/>
      <c r="AH30" s="3"/>
    </row>
    <row r="31" spans="1:35" x14ac:dyDescent="0.25">
      <c r="A31" s="3"/>
      <c r="I31" s="4"/>
    </row>
    <row r="32" spans="1:35" x14ac:dyDescent="0.25">
      <c r="A32" s="3"/>
      <c r="I32" s="4"/>
    </row>
    <row r="33" spans="1:9" x14ac:dyDescent="0.25">
      <c r="A33" s="3"/>
      <c r="I33" s="4"/>
    </row>
    <row r="34" spans="1:9" x14ac:dyDescent="0.25">
      <c r="A34" s="3"/>
      <c r="I34" s="4"/>
    </row>
    <row r="35" spans="1:9" x14ac:dyDescent="0.25">
      <c r="A35" s="3"/>
      <c r="I35" s="4"/>
    </row>
    <row r="36" spans="1:9" x14ac:dyDescent="0.25">
      <c r="A36" s="3"/>
      <c r="I36" s="4"/>
    </row>
    <row r="37" spans="1:9" x14ac:dyDescent="0.25">
      <c r="A37" s="3"/>
      <c r="I37" s="4"/>
    </row>
    <row r="38" spans="1:9" x14ac:dyDescent="0.25">
      <c r="A38" s="3"/>
      <c r="I38" s="4"/>
    </row>
    <row r="39" spans="1:9" x14ac:dyDescent="0.25">
      <c r="A39" s="3"/>
      <c r="I39" s="4"/>
    </row>
    <row r="40" spans="1:9" x14ac:dyDescent="0.25">
      <c r="A40" s="3"/>
      <c r="I40" s="4"/>
    </row>
    <row r="41" spans="1:9" x14ac:dyDescent="0.25">
      <c r="A41" s="3"/>
      <c r="I41" s="4"/>
    </row>
    <row r="42" spans="1:9" x14ac:dyDescent="0.25">
      <c r="A42" s="3"/>
      <c r="I42" s="4"/>
    </row>
    <row r="43" spans="1:9" x14ac:dyDescent="0.25">
      <c r="A43" s="3"/>
      <c r="I43" s="4"/>
    </row>
    <row r="44" spans="1:9" x14ac:dyDescent="0.25">
      <c r="A44" s="3"/>
      <c r="I44" s="4"/>
    </row>
    <row r="45" spans="1:9" x14ac:dyDescent="0.25">
      <c r="A45" s="3"/>
    </row>
    <row r="46" spans="1:9" x14ac:dyDescent="0.25">
      <c r="A46" s="3"/>
      <c r="I46" s="4"/>
    </row>
    <row r="47" spans="1:9" x14ac:dyDescent="0.25">
      <c r="A47" s="3"/>
      <c r="I47" s="4"/>
    </row>
    <row r="48" spans="1:9" x14ac:dyDescent="0.25">
      <c r="A48" s="3"/>
      <c r="I48" s="4"/>
    </row>
    <row r="49" spans="1:9" x14ac:dyDescent="0.25">
      <c r="A49" s="3"/>
      <c r="I49" s="4"/>
    </row>
    <row r="50" spans="1:9" x14ac:dyDescent="0.25">
      <c r="A50" s="3"/>
      <c r="I50" s="4"/>
    </row>
    <row r="51" spans="1:9" x14ac:dyDescent="0.25">
      <c r="A51" s="3"/>
      <c r="I51" s="4"/>
    </row>
    <row r="52" spans="1:9" x14ac:dyDescent="0.25">
      <c r="A52" s="3"/>
      <c r="I52" s="4"/>
    </row>
    <row r="53" spans="1:9" x14ac:dyDescent="0.25">
      <c r="A53" s="3"/>
      <c r="I53" s="4"/>
    </row>
    <row r="54" spans="1:9" x14ac:dyDescent="0.25">
      <c r="A54" s="3"/>
      <c r="I54" s="4"/>
    </row>
    <row r="55" spans="1:9" x14ac:dyDescent="0.25">
      <c r="A55" s="3"/>
      <c r="I55" s="4"/>
    </row>
    <row r="56" spans="1:9" x14ac:dyDescent="0.25">
      <c r="A56" s="3"/>
    </row>
    <row r="57" spans="1:9" x14ac:dyDescent="0.25">
      <c r="A57" s="3"/>
    </row>
    <row r="58" spans="1:9" x14ac:dyDescent="0.25">
      <c r="A58" s="3"/>
      <c r="I58" s="4"/>
    </row>
    <row r="59" spans="1:9" x14ac:dyDescent="0.25">
      <c r="A59" s="3"/>
      <c r="I59" s="4"/>
    </row>
    <row r="60" spans="1:9" x14ac:dyDescent="0.25">
      <c r="A60" s="3"/>
      <c r="I60" s="4"/>
    </row>
    <row r="61" spans="1:9" x14ac:dyDescent="0.25">
      <c r="A61" s="3"/>
      <c r="I61" s="4"/>
    </row>
    <row r="62" spans="1:9" x14ac:dyDescent="0.25">
      <c r="A62" s="3"/>
      <c r="I62" s="4"/>
    </row>
  </sheetData>
  <autoFilter ref="A2:H26" xr:uid="{14C92434-FDDC-45CD-BEC6-0B8EC15B1395}">
    <sortState xmlns:xlrd2="http://schemas.microsoft.com/office/spreadsheetml/2017/richdata2" ref="A3:H26">
      <sortCondition ref="H2:H26"/>
    </sortState>
  </autoFilter>
  <sortState xmlns:xlrd2="http://schemas.microsoft.com/office/spreadsheetml/2017/richdata2" ref="A3:H26">
    <sortCondition ref="A3:A26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2CF9-D1D6-49AB-A2AC-75037B702DC7}">
  <dimension ref="A1:J33"/>
  <sheetViews>
    <sheetView workbookViewId="0">
      <selection activeCell="I2" sqref="I2:J18"/>
      <pivotSelection pane="bottomRight" showHeader="1" extendable="1" axis="axisRow" max="18" activeRow="1" activeCol="8" previousRow="17" previousCol="8" click="1" r:id="rId1">
        <pivotArea dataOnly="0" axis="axisRow" fieldPosition="0">
          <references count="1">
            <reference field="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Selection>
    </sheetView>
  </sheetViews>
  <sheetFormatPr defaultRowHeight="15" x14ac:dyDescent="0.25"/>
  <cols>
    <col min="8" max="8" width="11.28515625" customWidth="1"/>
    <col min="9" max="9" width="23.140625" bestFit="1" customWidth="1"/>
    <col min="10" max="10" width="15.5703125" bestFit="1" customWidth="1"/>
  </cols>
  <sheetData>
    <row r="1" spans="1:10" x14ac:dyDescent="0.25">
      <c r="A1" s="1" t="s">
        <v>105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50</v>
      </c>
      <c r="I1" s="2" t="s">
        <v>48</v>
      </c>
      <c r="J1" t="s">
        <v>106</v>
      </c>
    </row>
    <row r="2" spans="1:10" x14ac:dyDescent="0.25">
      <c r="A2" t="s">
        <v>0</v>
      </c>
      <c r="B2" t="s">
        <v>35</v>
      </c>
      <c r="C2" t="s">
        <v>39</v>
      </c>
      <c r="D2" t="s">
        <v>37</v>
      </c>
      <c r="E2" t="s">
        <v>36</v>
      </c>
      <c r="F2" t="s">
        <v>109</v>
      </c>
      <c r="G2">
        <v>1</v>
      </c>
      <c r="I2" s="3" t="s">
        <v>32</v>
      </c>
      <c r="J2">
        <v>1</v>
      </c>
    </row>
    <row r="3" spans="1:10" x14ac:dyDescent="0.25">
      <c r="A3" t="s">
        <v>1</v>
      </c>
      <c r="B3" t="s">
        <v>38</v>
      </c>
      <c r="C3" t="s">
        <v>41</v>
      </c>
      <c r="D3" t="s">
        <v>35</v>
      </c>
      <c r="E3" t="s">
        <v>39</v>
      </c>
      <c r="F3" t="s">
        <v>108</v>
      </c>
      <c r="G3">
        <v>1</v>
      </c>
      <c r="I3" s="3" t="s">
        <v>128</v>
      </c>
      <c r="J3">
        <v>2</v>
      </c>
    </row>
    <row r="4" spans="1:10" x14ac:dyDescent="0.25">
      <c r="A4" t="s">
        <v>2</v>
      </c>
      <c r="B4" t="s">
        <v>39</v>
      </c>
      <c r="C4" t="s">
        <v>35</v>
      </c>
      <c r="D4" t="s">
        <v>114</v>
      </c>
      <c r="E4" t="s">
        <v>109</v>
      </c>
      <c r="F4" t="s">
        <v>36</v>
      </c>
      <c r="G4">
        <v>1</v>
      </c>
      <c r="I4" s="3" t="s">
        <v>135</v>
      </c>
      <c r="J4">
        <v>1</v>
      </c>
    </row>
    <row r="5" spans="1:10" x14ac:dyDescent="0.25">
      <c r="A5" t="s">
        <v>3</v>
      </c>
      <c r="B5" t="s">
        <v>34</v>
      </c>
      <c r="C5" t="s">
        <v>33</v>
      </c>
      <c r="D5" t="s">
        <v>115</v>
      </c>
      <c r="E5" t="s">
        <v>116</v>
      </c>
      <c r="F5" t="s">
        <v>117</v>
      </c>
      <c r="G5">
        <v>1</v>
      </c>
      <c r="I5" s="3" t="s">
        <v>118</v>
      </c>
      <c r="J5">
        <v>1</v>
      </c>
    </row>
    <row r="6" spans="1:10" x14ac:dyDescent="0.25">
      <c r="A6" t="s">
        <v>4</v>
      </c>
      <c r="B6" t="s">
        <v>35</v>
      </c>
      <c r="C6" t="s">
        <v>114</v>
      </c>
      <c r="D6" t="s">
        <v>108</v>
      </c>
      <c r="E6" t="s">
        <v>37</v>
      </c>
      <c r="F6" t="s">
        <v>36</v>
      </c>
      <c r="G6">
        <v>1</v>
      </c>
      <c r="I6" s="3" t="s">
        <v>110</v>
      </c>
      <c r="J6">
        <v>1</v>
      </c>
    </row>
    <row r="7" spans="1:10" x14ac:dyDescent="0.25">
      <c r="A7" t="s">
        <v>5</v>
      </c>
      <c r="B7" t="s">
        <v>108</v>
      </c>
      <c r="C7" t="s">
        <v>39</v>
      </c>
      <c r="D7" t="s">
        <v>35</v>
      </c>
      <c r="E7" t="s">
        <v>37</v>
      </c>
      <c r="F7" t="s">
        <v>118</v>
      </c>
      <c r="G7">
        <v>1</v>
      </c>
      <c r="I7" s="3" t="s">
        <v>126</v>
      </c>
      <c r="J7">
        <v>1</v>
      </c>
    </row>
    <row r="8" spans="1:10" x14ac:dyDescent="0.25">
      <c r="A8" t="s">
        <v>6</v>
      </c>
      <c r="B8" t="s">
        <v>41</v>
      </c>
      <c r="C8" t="s">
        <v>39</v>
      </c>
      <c r="D8" t="s">
        <v>35</v>
      </c>
      <c r="E8" t="s">
        <v>119</v>
      </c>
      <c r="F8" t="s">
        <v>37</v>
      </c>
      <c r="G8">
        <v>1</v>
      </c>
      <c r="I8" s="3" t="s">
        <v>108</v>
      </c>
      <c r="J8">
        <v>2</v>
      </c>
    </row>
    <row r="9" spans="1:10" x14ac:dyDescent="0.25">
      <c r="A9" t="s">
        <v>7</v>
      </c>
      <c r="B9" t="s">
        <v>40</v>
      </c>
      <c r="C9" t="s">
        <v>35</v>
      </c>
      <c r="D9" t="s">
        <v>39</v>
      </c>
      <c r="E9" t="s">
        <v>109</v>
      </c>
      <c r="F9" t="s">
        <v>36</v>
      </c>
      <c r="G9">
        <v>1</v>
      </c>
      <c r="I9" s="3" t="s">
        <v>131</v>
      </c>
      <c r="J9">
        <v>1</v>
      </c>
    </row>
    <row r="10" spans="1:10" x14ac:dyDescent="0.25">
      <c r="A10" t="s">
        <v>8</v>
      </c>
      <c r="B10" t="s">
        <v>40</v>
      </c>
      <c r="C10" t="s">
        <v>39</v>
      </c>
      <c r="D10" t="s">
        <v>35</v>
      </c>
      <c r="E10" t="s">
        <v>114</v>
      </c>
      <c r="F10" t="s">
        <v>33</v>
      </c>
      <c r="G10">
        <v>1</v>
      </c>
      <c r="I10" s="3" t="s">
        <v>114</v>
      </c>
      <c r="J10">
        <v>1</v>
      </c>
    </row>
    <row r="11" spans="1:10" x14ac:dyDescent="0.25">
      <c r="A11" t="s">
        <v>9</v>
      </c>
      <c r="B11" t="s">
        <v>120</v>
      </c>
      <c r="C11" t="s">
        <v>35</v>
      </c>
      <c r="D11" t="s">
        <v>121</v>
      </c>
      <c r="E11" t="s">
        <v>122</v>
      </c>
      <c r="F11" t="s">
        <v>108</v>
      </c>
      <c r="G11">
        <v>1</v>
      </c>
      <c r="I11" s="3" t="s">
        <v>35</v>
      </c>
      <c r="J11">
        <v>1</v>
      </c>
    </row>
    <row r="12" spans="1:10" x14ac:dyDescent="0.25">
      <c r="A12" t="s">
        <v>10</v>
      </c>
      <c r="B12" t="s">
        <v>35</v>
      </c>
      <c r="C12" t="s">
        <v>123</v>
      </c>
      <c r="D12" t="s">
        <v>37</v>
      </c>
      <c r="E12" t="s">
        <v>36</v>
      </c>
      <c r="F12" t="s">
        <v>109</v>
      </c>
      <c r="G12">
        <v>1</v>
      </c>
      <c r="I12" s="3" t="s">
        <v>36</v>
      </c>
      <c r="J12">
        <v>6</v>
      </c>
    </row>
    <row r="13" spans="1:10" x14ac:dyDescent="0.25">
      <c r="A13" t="s">
        <v>11</v>
      </c>
      <c r="B13" t="s">
        <v>124</v>
      </c>
      <c r="C13" t="s">
        <v>40</v>
      </c>
      <c r="D13" t="s">
        <v>39</v>
      </c>
      <c r="E13" t="s">
        <v>125</v>
      </c>
      <c r="F13" t="s">
        <v>126</v>
      </c>
      <c r="G13">
        <v>1</v>
      </c>
      <c r="I13" s="3" t="s">
        <v>109</v>
      </c>
      <c r="J13">
        <v>3</v>
      </c>
    </row>
    <row r="14" spans="1:10" x14ac:dyDescent="0.25">
      <c r="A14" t="s">
        <v>12</v>
      </c>
      <c r="B14" t="s">
        <v>35</v>
      </c>
      <c r="C14" t="s">
        <v>38</v>
      </c>
      <c r="D14" t="s">
        <v>39</v>
      </c>
      <c r="E14" t="s">
        <v>36</v>
      </c>
      <c r="F14" t="s">
        <v>109</v>
      </c>
      <c r="G14">
        <v>1</v>
      </c>
      <c r="I14" s="3" t="s">
        <v>37</v>
      </c>
      <c r="J14">
        <v>4</v>
      </c>
    </row>
    <row r="15" spans="1:10" x14ac:dyDescent="0.25">
      <c r="A15" t="s">
        <v>13</v>
      </c>
      <c r="B15" t="s">
        <v>114</v>
      </c>
      <c r="C15" t="s">
        <v>35</v>
      </c>
      <c r="D15" t="s">
        <v>127</v>
      </c>
      <c r="E15" t="s">
        <v>39</v>
      </c>
      <c r="F15" t="s">
        <v>128</v>
      </c>
      <c r="G15">
        <v>1</v>
      </c>
      <c r="I15" s="3" t="s">
        <v>31</v>
      </c>
      <c r="J15">
        <v>1</v>
      </c>
    </row>
    <row r="16" spans="1:10" x14ac:dyDescent="0.25">
      <c r="A16" t="s">
        <v>14</v>
      </c>
      <c r="B16" t="s">
        <v>34</v>
      </c>
      <c r="C16" t="s">
        <v>33</v>
      </c>
      <c r="D16" t="s">
        <v>114</v>
      </c>
      <c r="E16" t="s">
        <v>129</v>
      </c>
      <c r="F16" t="s">
        <v>37</v>
      </c>
      <c r="G16">
        <v>1</v>
      </c>
      <c r="I16" s="3" t="s">
        <v>133</v>
      </c>
      <c r="J16">
        <v>1</v>
      </c>
    </row>
    <row r="17" spans="1:10" x14ac:dyDescent="0.25">
      <c r="A17" t="s">
        <v>15</v>
      </c>
      <c r="B17" t="s">
        <v>130</v>
      </c>
      <c r="C17" t="s">
        <v>127</v>
      </c>
      <c r="D17" t="s">
        <v>35</v>
      </c>
      <c r="E17" t="s">
        <v>39</v>
      </c>
      <c r="F17" t="s">
        <v>37</v>
      </c>
      <c r="G17">
        <v>1</v>
      </c>
      <c r="I17" s="3" t="s">
        <v>117</v>
      </c>
      <c r="J17">
        <v>1</v>
      </c>
    </row>
    <row r="18" spans="1:10" x14ac:dyDescent="0.25">
      <c r="A18" t="s">
        <v>16</v>
      </c>
      <c r="B18" t="s">
        <v>35</v>
      </c>
      <c r="C18" t="s">
        <v>37</v>
      </c>
      <c r="D18" t="s">
        <v>33</v>
      </c>
      <c r="E18" t="s">
        <v>34</v>
      </c>
      <c r="F18" t="s">
        <v>114</v>
      </c>
      <c r="G18">
        <v>1</v>
      </c>
      <c r="I18" s="3" t="s">
        <v>33</v>
      </c>
      <c r="J18">
        <v>3</v>
      </c>
    </row>
    <row r="19" spans="1:10" x14ac:dyDescent="0.25">
      <c r="A19" t="s">
        <v>17</v>
      </c>
      <c r="B19" t="s">
        <v>35</v>
      </c>
      <c r="C19" t="s">
        <v>37</v>
      </c>
      <c r="D19" t="s">
        <v>36</v>
      </c>
      <c r="E19" t="s">
        <v>114</v>
      </c>
      <c r="F19" t="s">
        <v>131</v>
      </c>
      <c r="G19">
        <v>1</v>
      </c>
      <c r="I19" s="3" t="s">
        <v>49</v>
      </c>
      <c r="J19">
        <v>31</v>
      </c>
    </row>
    <row r="20" spans="1:10" x14ac:dyDescent="0.25">
      <c r="A20" t="s">
        <v>18</v>
      </c>
      <c r="B20" t="s">
        <v>35</v>
      </c>
      <c r="C20" t="s">
        <v>39</v>
      </c>
      <c r="D20" t="s">
        <v>38</v>
      </c>
      <c r="E20" t="s">
        <v>36</v>
      </c>
      <c r="F20" t="s">
        <v>32</v>
      </c>
      <c r="G20">
        <v>1</v>
      </c>
    </row>
    <row r="21" spans="1:10" x14ac:dyDescent="0.25">
      <c r="A21" t="s">
        <v>19</v>
      </c>
      <c r="B21" t="s">
        <v>108</v>
      </c>
      <c r="C21" t="s">
        <v>39</v>
      </c>
      <c r="D21" t="s">
        <v>35</v>
      </c>
      <c r="E21" t="s">
        <v>114</v>
      </c>
      <c r="F21" t="s">
        <v>33</v>
      </c>
      <c r="G21">
        <v>1</v>
      </c>
    </row>
    <row r="22" spans="1:10" x14ac:dyDescent="0.25">
      <c r="A22" t="s">
        <v>20</v>
      </c>
      <c r="B22" t="s">
        <v>39</v>
      </c>
      <c r="C22" t="s">
        <v>35</v>
      </c>
      <c r="D22" t="s">
        <v>37</v>
      </c>
      <c r="E22" t="s">
        <v>132</v>
      </c>
      <c r="F22" t="s">
        <v>110</v>
      </c>
      <c r="G22">
        <v>1</v>
      </c>
    </row>
    <row r="23" spans="1:10" x14ac:dyDescent="0.25">
      <c r="A23" t="s">
        <v>21</v>
      </c>
      <c r="B23" t="s">
        <v>35</v>
      </c>
      <c r="C23" t="s">
        <v>39</v>
      </c>
      <c r="D23" t="s">
        <v>114</v>
      </c>
      <c r="E23" t="s">
        <v>37</v>
      </c>
      <c r="F23" t="s">
        <v>36</v>
      </c>
      <c r="G23">
        <v>1</v>
      </c>
    </row>
    <row r="24" spans="1:10" x14ac:dyDescent="0.25">
      <c r="A24" t="s">
        <v>22</v>
      </c>
      <c r="B24" t="s">
        <v>35</v>
      </c>
      <c r="C24" t="s">
        <v>39</v>
      </c>
      <c r="D24" t="s">
        <v>37</v>
      </c>
      <c r="E24" t="s">
        <v>38</v>
      </c>
      <c r="F24" t="s">
        <v>133</v>
      </c>
      <c r="G24">
        <v>1</v>
      </c>
    </row>
    <row r="25" spans="1:10" x14ac:dyDescent="0.25">
      <c r="A25" t="s">
        <v>23</v>
      </c>
      <c r="B25" t="s">
        <v>114</v>
      </c>
      <c r="C25" t="s">
        <v>35</v>
      </c>
      <c r="D25" t="s">
        <v>37</v>
      </c>
      <c r="E25" t="s">
        <v>33</v>
      </c>
      <c r="F25" t="s">
        <v>36</v>
      </c>
      <c r="G25">
        <v>1</v>
      </c>
    </row>
    <row r="26" spans="1:10" x14ac:dyDescent="0.25">
      <c r="A26" t="s">
        <v>24</v>
      </c>
      <c r="B26" t="s">
        <v>35</v>
      </c>
      <c r="C26" t="s">
        <v>39</v>
      </c>
      <c r="D26" t="s">
        <v>114</v>
      </c>
      <c r="E26" t="s">
        <v>134</v>
      </c>
      <c r="F26" t="s">
        <v>37</v>
      </c>
      <c r="G26">
        <v>1</v>
      </c>
    </row>
    <row r="27" spans="1:10" x14ac:dyDescent="0.25">
      <c r="A27" t="s">
        <v>25</v>
      </c>
      <c r="B27" t="s">
        <v>40</v>
      </c>
      <c r="C27" t="s">
        <v>114</v>
      </c>
      <c r="D27" t="s">
        <v>39</v>
      </c>
      <c r="E27" t="s">
        <v>128</v>
      </c>
      <c r="F27" t="s">
        <v>35</v>
      </c>
      <c r="G27">
        <v>1</v>
      </c>
    </row>
    <row r="28" spans="1:10" x14ac:dyDescent="0.25">
      <c r="A28" t="s">
        <v>26</v>
      </c>
      <c r="B28" t="s">
        <v>35</v>
      </c>
      <c r="C28" t="s">
        <v>37</v>
      </c>
      <c r="D28" t="s">
        <v>36</v>
      </c>
      <c r="E28" t="s">
        <v>109</v>
      </c>
      <c r="F28" t="s">
        <v>31</v>
      </c>
      <c r="G28">
        <v>1</v>
      </c>
    </row>
    <row r="29" spans="1:10" x14ac:dyDescent="0.25">
      <c r="A29" t="s">
        <v>27</v>
      </c>
      <c r="B29" t="s">
        <v>108</v>
      </c>
      <c r="C29" t="s">
        <v>114</v>
      </c>
      <c r="D29" t="s">
        <v>33</v>
      </c>
      <c r="E29" t="s">
        <v>35</v>
      </c>
      <c r="F29" t="s">
        <v>135</v>
      </c>
      <c r="G29">
        <v>1</v>
      </c>
    </row>
    <row r="30" spans="1:10" x14ac:dyDescent="0.25">
      <c r="A30" t="s">
        <v>28</v>
      </c>
      <c r="B30" t="s">
        <v>114</v>
      </c>
      <c r="C30" t="s">
        <v>136</v>
      </c>
      <c r="D30" t="s">
        <v>39</v>
      </c>
      <c r="E30" t="s">
        <v>35</v>
      </c>
      <c r="F30" t="s">
        <v>36</v>
      </c>
      <c r="G30">
        <v>1</v>
      </c>
    </row>
    <row r="31" spans="1:10" x14ac:dyDescent="0.25">
      <c r="A31" t="s">
        <v>29</v>
      </c>
      <c r="B31" t="s">
        <v>39</v>
      </c>
      <c r="C31" t="s">
        <v>35</v>
      </c>
      <c r="D31" t="s">
        <v>129</v>
      </c>
      <c r="E31" t="s">
        <v>37</v>
      </c>
      <c r="F31" t="s">
        <v>128</v>
      </c>
      <c r="G31">
        <v>1</v>
      </c>
    </row>
    <row r="32" spans="1:10" x14ac:dyDescent="0.25">
      <c r="A32" t="s">
        <v>30</v>
      </c>
      <c r="B32" t="s">
        <v>40</v>
      </c>
      <c r="C32" t="s">
        <v>35</v>
      </c>
      <c r="D32" t="s">
        <v>39</v>
      </c>
      <c r="E32" t="s">
        <v>38</v>
      </c>
      <c r="F32" t="s">
        <v>33</v>
      </c>
      <c r="G32">
        <v>1</v>
      </c>
    </row>
    <row r="33" spans="1:1" x14ac:dyDescent="0.25">
      <c r="A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2428-2349-4D9B-8497-B65C1421114B}">
  <dimension ref="A1:AH75"/>
  <sheetViews>
    <sheetView topLeftCell="A40" zoomScale="60" zoomScaleNormal="60" workbookViewId="0">
      <selection activeCell="R67" sqref="R67"/>
    </sheetView>
  </sheetViews>
  <sheetFormatPr defaultRowHeight="15" x14ac:dyDescent="0.25"/>
  <cols>
    <col min="1" max="1" width="9.85546875" customWidth="1"/>
    <col min="2" max="29" width="8.7109375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4" x14ac:dyDescent="0.25">
      <c r="A2">
        <v>1</v>
      </c>
      <c r="B2" t="s">
        <v>35</v>
      </c>
      <c r="C2" t="s">
        <v>38</v>
      </c>
      <c r="D2" t="s">
        <v>39</v>
      </c>
      <c r="E2" t="s">
        <v>34</v>
      </c>
      <c r="F2" t="s">
        <v>35</v>
      </c>
      <c r="G2" t="s">
        <v>108</v>
      </c>
      <c r="H2" t="s">
        <v>41</v>
      </c>
      <c r="I2" t="s">
        <v>40</v>
      </c>
      <c r="J2" t="s">
        <v>40</v>
      </c>
      <c r="K2" t="s">
        <v>120</v>
      </c>
      <c r="L2" t="s">
        <v>35</v>
      </c>
      <c r="M2" t="s">
        <v>124</v>
      </c>
      <c r="N2" t="s">
        <v>35</v>
      </c>
      <c r="O2" t="s">
        <v>114</v>
      </c>
      <c r="P2" t="s">
        <v>34</v>
      </c>
      <c r="Q2" t="s">
        <v>130</v>
      </c>
      <c r="R2" t="s">
        <v>35</v>
      </c>
      <c r="S2" t="s">
        <v>35</v>
      </c>
      <c r="T2" t="s">
        <v>35</v>
      </c>
      <c r="U2" t="s">
        <v>108</v>
      </c>
      <c r="V2" t="s">
        <v>39</v>
      </c>
      <c r="W2" t="s">
        <v>35</v>
      </c>
      <c r="X2" t="s">
        <v>35</v>
      </c>
      <c r="Y2" t="s">
        <v>114</v>
      </c>
      <c r="Z2" t="s">
        <v>35</v>
      </c>
      <c r="AA2" t="s">
        <v>40</v>
      </c>
      <c r="AB2" t="s">
        <v>35</v>
      </c>
      <c r="AC2" t="s">
        <v>108</v>
      </c>
      <c r="AD2" t="s">
        <v>114</v>
      </c>
      <c r="AE2" t="s">
        <v>39</v>
      </c>
      <c r="AF2" t="s">
        <v>40</v>
      </c>
    </row>
    <row r="3" spans="1:34" x14ac:dyDescent="0.25">
      <c r="A3">
        <v>2</v>
      </c>
      <c r="B3" t="s">
        <v>39</v>
      </c>
      <c r="C3" t="s">
        <v>41</v>
      </c>
      <c r="D3" t="s">
        <v>35</v>
      </c>
      <c r="E3" t="s">
        <v>33</v>
      </c>
      <c r="F3" t="s">
        <v>114</v>
      </c>
      <c r="G3" t="s">
        <v>39</v>
      </c>
      <c r="H3" t="s">
        <v>39</v>
      </c>
      <c r="I3" t="s">
        <v>35</v>
      </c>
      <c r="J3" t="s">
        <v>39</v>
      </c>
      <c r="K3" t="s">
        <v>35</v>
      </c>
      <c r="L3" t="s">
        <v>123</v>
      </c>
      <c r="M3" t="s">
        <v>40</v>
      </c>
      <c r="N3" t="s">
        <v>38</v>
      </c>
      <c r="O3" t="s">
        <v>35</v>
      </c>
      <c r="P3" t="s">
        <v>33</v>
      </c>
      <c r="Q3" t="s">
        <v>127</v>
      </c>
      <c r="R3" t="s">
        <v>37</v>
      </c>
      <c r="S3" t="s">
        <v>37</v>
      </c>
      <c r="T3" t="s">
        <v>39</v>
      </c>
      <c r="U3" t="s">
        <v>39</v>
      </c>
      <c r="V3" t="s">
        <v>35</v>
      </c>
      <c r="W3" t="s">
        <v>39</v>
      </c>
      <c r="X3" t="s">
        <v>39</v>
      </c>
      <c r="Y3" t="s">
        <v>35</v>
      </c>
      <c r="Z3" t="s">
        <v>39</v>
      </c>
      <c r="AA3" t="s">
        <v>114</v>
      </c>
      <c r="AB3" t="s">
        <v>37</v>
      </c>
      <c r="AC3" t="s">
        <v>114</v>
      </c>
      <c r="AD3" t="s">
        <v>136</v>
      </c>
      <c r="AE3" t="s">
        <v>35</v>
      </c>
      <c r="AF3" t="s">
        <v>35</v>
      </c>
    </row>
    <row r="4" spans="1:34" x14ac:dyDescent="0.25">
      <c r="A4">
        <v>3</v>
      </c>
      <c r="B4" t="s">
        <v>37</v>
      </c>
      <c r="C4" t="s">
        <v>35</v>
      </c>
      <c r="D4" t="s">
        <v>114</v>
      </c>
      <c r="E4" t="s">
        <v>115</v>
      </c>
      <c r="F4" t="s">
        <v>108</v>
      </c>
      <c r="G4" t="s">
        <v>35</v>
      </c>
      <c r="H4" t="s">
        <v>35</v>
      </c>
      <c r="I4" t="s">
        <v>39</v>
      </c>
      <c r="J4" t="s">
        <v>35</v>
      </c>
      <c r="K4" t="s">
        <v>121</v>
      </c>
      <c r="L4" t="s">
        <v>37</v>
      </c>
      <c r="M4" t="s">
        <v>39</v>
      </c>
      <c r="N4" t="s">
        <v>39</v>
      </c>
      <c r="O4" t="s">
        <v>127</v>
      </c>
      <c r="P4" t="s">
        <v>114</v>
      </c>
      <c r="Q4" t="s">
        <v>35</v>
      </c>
      <c r="R4" t="s">
        <v>33</v>
      </c>
      <c r="S4" t="s">
        <v>36</v>
      </c>
      <c r="T4" t="s">
        <v>38</v>
      </c>
      <c r="U4" t="s">
        <v>35</v>
      </c>
      <c r="V4" t="s">
        <v>37</v>
      </c>
      <c r="W4" t="s">
        <v>114</v>
      </c>
      <c r="X4" t="s">
        <v>37</v>
      </c>
      <c r="Y4" t="s">
        <v>37</v>
      </c>
      <c r="Z4" t="s">
        <v>114</v>
      </c>
      <c r="AA4" t="s">
        <v>39</v>
      </c>
      <c r="AB4" t="s">
        <v>36</v>
      </c>
      <c r="AC4" t="s">
        <v>33</v>
      </c>
      <c r="AD4" t="s">
        <v>39</v>
      </c>
      <c r="AE4" t="s">
        <v>129</v>
      </c>
      <c r="AF4" t="s">
        <v>39</v>
      </c>
    </row>
    <row r="5" spans="1:34" x14ac:dyDescent="0.25">
      <c r="A5">
        <v>4</v>
      </c>
      <c r="B5" t="s">
        <v>36</v>
      </c>
      <c r="C5" t="s">
        <v>39</v>
      </c>
      <c r="D5" t="s">
        <v>109</v>
      </c>
      <c r="E5" t="s">
        <v>116</v>
      </c>
      <c r="F5" t="s">
        <v>37</v>
      </c>
      <c r="G5" t="s">
        <v>37</v>
      </c>
      <c r="H5" t="s">
        <v>119</v>
      </c>
      <c r="I5" t="s">
        <v>109</v>
      </c>
      <c r="J5" t="s">
        <v>114</v>
      </c>
      <c r="K5" t="s">
        <v>122</v>
      </c>
      <c r="L5" t="s">
        <v>36</v>
      </c>
      <c r="M5" t="s">
        <v>125</v>
      </c>
      <c r="N5" t="s">
        <v>36</v>
      </c>
      <c r="O5" t="s">
        <v>39</v>
      </c>
      <c r="P5" t="s">
        <v>129</v>
      </c>
      <c r="Q5" t="s">
        <v>39</v>
      </c>
      <c r="R5" t="s">
        <v>34</v>
      </c>
      <c r="S5" t="s">
        <v>114</v>
      </c>
      <c r="T5" t="s">
        <v>36</v>
      </c>
      <c r="U5" t="s">
        <v>114</v>
      </c>
      <c r="V5" t="s">
        <v>132</v>
      </c>
      <c r="W5" t="s">
        <v>37</v>
      </c>
      <c r="X5" t="s">
        <v>38</v>
      </c>
      <c r="Y5" t="s">
        <v>33</v>
      </c>
      <c r="Z5" t="s">
        <v>134</v>
      </c>
      <c r="AA5" t="s">
        <v>128</v>
      </c>
      <c r="AB5" t="s">
        <v>109</v>
      </c>
      <c r="AC5" t="s">
        <v>35</v>
      </c>
      <c r="AD5" t="s">
        <v>35</v>
      </c>
      <c r="AE5" t="s">
        <v>37</v>
      </c>
      <c r="AF5" t="s">
        <v>38</v>
      </c>
    </row>
    <row r="6" spans="1:34" x14ac:dyDescent="0.25">
      <c r="A6">
        <v>5</v>
      </c>
      <c r="B6" t="s">
        <v>109</v>
      </c>
      <c r="C6" t="s">
        <v>108</v>
      </c>
      <c r="D6" t="s">
        <v>36</v>
      </c>
      <c r="E6" t="s">
        <v>117</v>
      </c>
      <c r="F6" t="s">
        <v>36</v>
      </c>
      <c r="G6" t="s">
        <v>118</v>
      </c>
      <c r="H6" t="s">
        <v>37</v>
      </c>
      <c r="I6" t="s">
        <v>36</v>
      </c>
      <c r="J6" t="s">
        <v>33</v>
      </c>
      <c r="K6" t="s">
        <v>108</v>
      </c>
      <c r="L6" t="s">
        <v>109</v>
      </c>
      <c r="M6" t="s">
        <v>126</v>
      </c>
      <c r="N6" t="s">
        <v>109</v>
      </c>
      <c r="O6" t="s">
        <v>128</v>
      </c>
      <c r="P6" t="s">
        <v>37</v>
      </c>
      <c r="Q6" t="s">
        <v>37</v>
      </c>
      <c r="R6" t="s">
        <v>114</v>
      </c>
      <c r="S6" t="s">
        <v>131</v>
      </c>
      <c r="T6" t="s">
        <v>32</v>
      </c>
      <c r="U6" t="s">
        <v>33</v>
      </c>
      <c r="V6" t="s">
        <v>110</v>
      </c>
      <c r="W6" t="s">
        <v>36</v>
      </c>
      <c r="X6" t="s">
        <v>133</v>
      </c>
      <c r="Y6" t="s">
        <v>36</v>
      </c>
      <c r="Z6" t="s">
        <v>37</v>
      </c>
      <c r="AA6" t="s">
        <v>35</v>
      </c>
      <c r="AB6" t="s">
        <v>31</v>
      </c>
      <c r="AC6" t="s">
        <v>135</v>
      </c>
      <c r="AD6" t="s">
        <v>36</v>
      </c>
      <c r="AE6" t="s">
        <v>128</v>
      </c>
      <c r="AF6" t="s">
        <v>33</v>
      </c>
    </row>
    <row r="8" spans="1:34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</row>
    <row r="9" spans="1:34" x14ac:dyDescent="0.25">
      <c r="A9">
        <v>1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 s="5"/>
      <c r="AH9" s="5"/>
    </row>
    <row r="10" spans="1:34" x14ac:dyDescent="0.25">
      <c r="A10">
        <v>2</v>
      </c>
      <c r="B10">
        <v>90.569932597263104</v>
      </c>
      <c r="C10">
        <v>70.341727306296704</v>
      </c>
      <c r="D10">
        <v>96.250028834386697</v>
      </c>
      <c r="E10">
        <v>72.825393657999498</v>
      </c>
      <c r="F10">
        <v>67.680518590588704</v>
      </c>
      <c r="G10">
        <v>57.5247852135793</v>
      </c>
      <c r="H10">
        <v>75.320169950330495</v>
      </c>
      <c r="I10">
        <v>52.070678903796697</v>
      </c>
      <c r="J10">
        <v>38.941322588998197</v>
      </c>
      <c r="K10">
        <v>74.951006836160602</v>
      </c>
      <c r="L10">
        <v>56.954031343655402</v>
      </c>
      <c r="M10">
        <v>85.687049636555003</v>
      </c>
      <c r="N10">
        <v>76.633308319884506</v>
      </c>
      <c r="O10">
        <v>15.6348327458845</v>
      </c>
      <c r="P10">
        <v>66.641775694166</v>
      </c>
      <c r="Q10">
        <v>57.424689632135802</v>
      </c>
      <c r="R10">
        <v>78.746134655584299</v>
      </c>
      <c r="S10">
        <v>50.534564683173301</v>
      </c>
      <c r="T10">
        <v>91.980699431165604</v>
      </c>
      <c r="U10">
        <v>32.691861371418298</v>
      </c>
      <c r="V10">
        <v>96.513865821633104</v>
      </c>
      <c r="W10">
        <v>90.384096322411594</v>
      </c>
      <c r="X10">
        <v>85.118472731435006</v>
      </c>
      <c r="Y10">
        <v>30.428377385466</v>
      </c>
      <c r="Z10">
        <v>92.687328805214705</v>
      </c>
      <c r="AA10">
        <v>83.198833105018394</v>
      </c>
      <c r="AB10">
        <v>62.888645835268498</v>
      </c>
      <c r="AC10">
        <v>78.4800245322796</v>
      </c>
      <c r="AD10">
        <v>94.316911362530107</v>
      </c>
      <c r="AE10">
        <v>85.085019597198894</v>
      </c>
      <c r="AF10">
        <v>37.879215868057003</v>
      </c>
      <c r="AG10" s="5"/>
      <c r="AH10" s="5"/>
    </row>
    <row r="11" spans="1:34" x14ac:dyDescent="0.25">
      <c r="A11">
        <v>3</v>
      </c>
      <c r="B11">
        <v>64.505938742433202</v>
      </c>
      <c r="C11">
        <v>65.846686732323803</v>
      </c>
      <c r="D11">
        <v>82.571126751128702</v>
      </c>
      <c r="E11">
        <v>69.078418027558698</v>
      </c>
      <c r="F11">
        <v>61.7489738131815</v>
      </c>
      <c r="G11">
        <v>55.879870130546998</v>
      </c>
      <c r="H11">
        <v>66.237474725626896</v>
      </c>
      <c r="I11">
        <v>38.423308928525302</v>
      </c>
      <c r="J11">
        <v>33.146062245423202</v>
      </c>
      <c r="K11">
        <v>72.343304157898999</v>
      </c>
      <c r="L11">
        <v>55.433909761382502</v>
      </c>
      <c r="M11">
        <v>77.556461065042797</v>
      </c>
      <c r="N11">
        <v>69.971885867558001</v>
      </c>
      <c r="O11">
        <v>14.982778628317501</v>
      </c>
      <c r="P11">
        <v>50.6526437255337</v>
      </c>
      <c r="Q11">
        <v>56.1670008394956</v>
      </c>
      <c r="R11">
        <v>66.742746600213906</v>
      </c>
      <c r="S11">
        <v>44.765114925964397</v>
      </c>
      <c r="T11">
        <v>80.255032564109797</v>
      </c>
      <c r="U11">
        <v>28.574548734921098</v>
      </c>
      <c r="V11">
        <v>57.306485917717303</v>
      </c>
      <c r="W11">
        <v>78.283319182011496</v>
      </c>
      <c r="X11">
        <v>51.059680309059601</v>
      </c>
      <c r="Y11">
        <v>25.158483226787801</v>
      </c>
      <c r="Z11">
        <v>80.0731490388239</v>
      </c>
      <c r="AA11">
        <v>68.327206701855303</v>
      </c>
      <c r="AB11">
        <v>60.056537058710603</v>
      </c>
      <c r="AC11">
        <v>78.128446853554294</v>
      </c>
      <c r="AD11">
        <v>77.338985166340905</v>
      </c>
      <c r="AE11">
        <v>64.333643878767703</v>
      </c>
      <c r="AF11">
        <v>34.302059405512097</v>
      </c>
      <c r="AG11" s="5"/>
      <c r="AH11" s="5"/>
    </row>
    <row r="12" spans="1:34" x14ac:dyDescent="0.25">
      <c r="A12">
        <v>4</v>
      </c>
      <c r="B12">
        <v>53.774077837034397</v>
      </c>
      <c r="C12">
        <v>51.561412870996499</v>
      </c>
      <c r="D12">
        <v>41.025245525431998</v>
      </c>
      <c r="E12">
        <v>66.941502724159704</v>
      </c>
      <c r="F12">
        <v>55.496396478385698</v>
      </c>
      <c r="G12">
        <v>29.799902387340499</v>
      </c>
      <c r="H12">
        <v>44.734249353733297</v>
      </c>
      <c r="I12">
        <v>25.838405810156299</v>
      </c>
      <c r="J12">
        <v>24.696424643230198</v>
      </c>
      <c r="K12">
        <v>64.054745393843305</v>
      </c>
      <c r="L12">
        <v>49.005963059541799</v>
      </c>
      <c r="M12">
        <v>48.9106053520308</v>
      </c>
      <c r="N12">
        <v>38.542023432580898</v>
      </c>
      <c r="O12">
        <v>13.428385668975301</v>
      </c>
      <c r="P12">
        <v>48.150415017534698</v>
      </c>
      <c r="Q12">
        <v>39.842200820738199</v>
      </c>
      <c r="R12">
        <v>61.626118032495199</v>
      </c>
      <c r="S12">
        <v>41.895142931091698</v>
      </c>
      <c r="T12">
        <v>48.710528628042603</v>
      </c>
      <c r="U12">
        <v>23.481493707674101</v>
      </c>
      <c r="V12">
        <v>56.757589378455997</v>
      </c>
      <c r="W12">
        <v>54.177674741261498</v>
      </c>
      <c r="X12">
        <v>45.096244847201703</v>
      </c>
      <c r="Y12">
        <v>14.365856097729599</v>
      </c>
      <c r="Z12">
        <v>68.510059928105804</v>
      </c>
      <c r="AA12">
        <v>59.219781813145303</v>
      </c>
      <c r="AB12">
        <v>50.106904890176899</v>
      </c>
      <c r="AC12">
        <v>51.649334532394001</v>
      </c>
      <c r="AD12">
        <v>59.748786709589801</v>
      </c>
      <c r="AE12">
        <v>62.938312477399599</v>
      </c>
      <c r="AF12">
        <v>26.763817141751399</v>
      </c>
      <c r="AG12" s="5"/>
      <c r="AH12" s="5"/>
    </row>
    <row r="13" spans="1:34" x14ac:dyDescent="0.25">
      <c r="A13">
        <v>5</v>
      </c>
      <c r="B13">
        <v>39.951596414649401</v>
      </c>
      <c r="C13">
        <v>49.629297177781197</v>
      </c>
      <c r="D13">
        <v>40.000665331437297</v>
      </c>
      <c r="E13">
        <v>56.5525260389756</v>
      </c>
      <c r="F13">
        <v>45.849359050737398</v>
      </c>
      <c r="G13">
        <v>26.934847302485998</v>
      </c>
      <c r="H13">
        <v>37.468645413531902</v>
      </c>
      <c r="I13">
        <v>22.8492430645253</v>
      </c>
      <c r="J13">
        <v>24.227307684561801</v>
      </c>
      <c r="K13">
        <v>61.932523279589198</v>
      </c>
      <c r="L13">
        <v>48.381193432398398</v>
      </c>
      <c r="M13">
        <v>31.322638857363099</v>
      </c>
      <c r="N13">
        <v>35.8863532907557</v>
      </c>
      <c r="O13">
        <v>13.288134380220001</v>
      </c>
      <c r="P13">
        <v>35.4814489924523</v>
      </c>
      <c r="Q13">
        <v>36.2878560953991</v>
      </c>
      <c r="R13">
        <v>51.840777300675597</v>
      </c>
      <c r="S13">
        <v>39.913241972598499</v>
      </c>
      <c r="T13">
        <v>48.683760870765703</v>
      </c>
      <c r="U13">
        <v>19.275463443842298</v>
      </c>
      <c r="V13">
        <v>50.792992853734503</v>
      </c>
      <c r="W13">
        <v>48.738148902659702</v>
      </c>
      <c r="X13">
        <v>45.076424215832098</v>
      </c>
      <c r="Y13">
        <v>13.918047879769</v>
      </c>
      <c r="Z13">
        <v>61.747949940536401</v>
      </c>
      <c r="AA13">
        <v>47.618313672278198</v>
      </c>
      <c r="AB13">
        <v>48.443810492485497</v>
      </c>
      <c r="AC13">
        <v>50.400775084237502</v>
      </c>
      <c r="AD13">
        <v>54.429580990463599</v>
      </c>
      <c r="AE13">
        <v>51.125060628341302</v>
      </c>
      <c r="AF13">
        <v>22.973683789318301</v>
      </c>
      <c r="AG13" s="5"/>
      <c r="AH13" s="5"/>
    </row>
    <row r="14" spans="1:34" x14ac:dyDescent="0.25">
      <c r="Q14" s="5"/>
      <c r="AG14" s="5"/>
      <c r="AH14" s="5"/>
    </row>
    <row r="16" spans="1:34" x14ac:dyDescent="0.25">
      <c r="A16">
        <f>A8</f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  <c r="U16" t="s">
        <v>19</v>
      </c>
      <c r="V16" t="s">
        <v>20</v>
      </c>
      <c r="W16" t="s">
        <v>21</v>
      </c>
      <c r="X16" t="s">
        <v>22</v>
      </c>
      <c r="Y16" t="s">
        <v>23</v>
      </c>
      <c r="Z16" t="s">
        <v>24</v>
      </c>
      <c r="AA16" t="s">
        <v>25</v>
      </c>
      <c r="AB16" t="s">
        <v>26</v>
      </c>
      <c r="AC16" t="s">
        <v>27</v>
      </c>
      <c r="AD16" t="s">
        <v>28</v>
      </c>
      <c r="AE16" t="s">
        <v>29</v>
      </c>
      <c r="AF16" t="s">
        <v>30</v>
      </c>
    </row>
    <row r="17" spans="1:32" x14ac:dyDescent="0.25">
      <c r="A17">
        <f>A2</f>
        <v>1</v>
      </c>
      <c r="B17" t="str">
        <f>VLOOKUP(B2,Sheet2!$A$2:$B$62,2,FALSE)</f>
        <v>Number of HH members</v>
      </c>
      <c r="C17" t="str">
        <f>VLOOKUP(C2,Sheet2!$A$2:$B$62,2,FALSE)</f>
        <v>Number of cattle owned</v>
      </c>
      <c r="D17" t="str">
        <f>VLOOKUP(D2,Sheet2!$A$2:$B$62,2,FALSE)</f>
        <v>Ideal number of children</v>
      </c>
      <c r="E17" t="str">
        <f>VLOOKUP(E2,Sheet2!$A$2:$B$62,2,FALSE)</f>
        <v>Heard of family planning via any media form</v>
      </c>
      <c r="F17" t="str">
        <f>VLOOKUP(F2,Sheet2!$A$2:$B$62,2,FALSE)</f>
        <v>Number of HH members</v>
      </c>
      <c r="G17" t="str">
        <f>VLOOKUP(G2,Sheet2!$A$2:$B$62,2,FALSE)</f>
        <v>Health card for child</v>
      </c>
      <c r="H17" t="str">
        <f>VLOOKUP(H2,Sheet2!$A$2:$B$62,2,FALSE)</f>
        <v>Time for HH to get to water source</v>
      </c>
      <c r="I17" t="str">
        <f>VLOOKUP(I2,Sheet2!$A$2:$B$62,2,FALSE)</f>
        <v>Body Mass Index</v>
      </c>
      <c r="J17" t="str">
        <f>VLOOKUP(J2,Sheet2!$A$2:$B$62,2,FALSE)</f>
        <v>Body Mass Index</v>
      </c>
      <c r="K17" t="e">
        <f>VLOOKUP(K2,Sheet2!$A$2:$B$62,2,FALSE)</f>
        <v>#N/A</v>
      </c>
      <c r="L17" t="str">
        <f>VLOOKUP(L2,Sheet2!$A$2:$B$62,2,FALSE)</f>
        <v>Number of HH members</v>
      </c>
      <c r="M17" t="str">
        <f>VLOOKUP(M2,Sheet2!$A$2:$B$62,2,FALSE)</f>
        <v>Ethnicity: Kalenjin</v>
      </c>
      <c r="N17" t="str">
        <f>VLOOKUP(N2,Sheet2!$A$2:$B$62,2,FALSE)</f>
        <v>Number of HH members</v>
      </c>
      <c r="O17" t="e">
        <f>VLOOKUP(O2,Sheet2!$A$2:$B$62,2,FALSE)</f>
        <v>#N/A</v>
      </c>
      <c r="P17" t="str">
        <f>VLOOKUP(P2,Sheet2!$A$2:$B$62,2,FALSE)</f>
        <v>Heard of family planning via any media form</v>
      </c>
      <c r="Q17" t="str">
        <f>VLOOKUP(Q2,Sheet2!$A$2:$B$62,2,FALSE)</f>
        <v>Language: Chichewa</v>
      </c>
      <c r="R17" t="str">
        <f>VLOOKUP(R2,Sheet2!$A$2:$B$62,2,FALSE)</f>
        <v>Number of HH members</v>
      </c>
      <c r="S17" t="str">
        <f>VLOOKUP(S2,Sheet2!$A$2:$B$62,2,FALSE)</f>
        <v>Number of HH members</v>
      </c>
      <c r="T17" t="str">
        <f>VLOOKUP(T2,Sheet2!$A$2:$B$62,2,FALSE)</f>
        <v>Number of HH members</v>
      </c>
      <c r="U17" t="str">
        <f>VLOOKUP(U2,Sheet2!$A$2:$B$62,2,FALSE)</f>
        <v>Health card for child</v>
      </c>
      <c r="V17" t="str">
        <f>VLOOKUP(V2,Sheet2!$A$2:$B$62,2,FALSE)</f>
        <v>Ideal number of children</v>
      </c>
      <c r="W17" t="str">
        <f>VLOOKUP(W2,Sheet2!$A$2:$B$62,2,FALSE)</f>
        <v>Number of HH members</v>
      </c>
      <c r="X17" t="str">
        <f>VLOOKUP(X2,Sheet2!$A$2:$B$62,2,FALSE)</f>
        <v>Number of HH members</v>
      </c>
      <c r="Y17" t="e">
        <f>VLOOKUP(Y2,Sheet2!$A$2:$B$62,2,FALSE)</f>
        <v>#N/A</v>
      </c>
      <c r="Z17" t="str">
        <f>VLOOKUP(Z2,Sheet2!$A$2:$B$62,2,FALSE)</f>
        <v>Number of HH members</v>
      </c>
      <c r="AA17" t="str">
        <f>VLOOKUP(AA2,Sheet2!$A$2:$B$62,2,FALSE)</f>
        <v>Body Mass Index</v>
      </c>
      <c r="AB17" t="str">
        <f>VLOOKUP(AB2,Sheet2!$A$2:$B$62,2,FALSE)</f>
        <v>Number of HH members</v>
      </c>
      <c r="AC17" t="str">
        <f>VLOOKUP(AC2,Sheet2!$A$2:$B$62,2,FALSE)</f>
        <v>Health card for child</v>
      </c>
      <c r="AD17" t="e">
        <f>VLOOKUP(AD2,Sheet2!$A$2:$B$62,2,FALSE)</f>
        <v>#N/A</v>
      </c>
      <c r="AE17" t="str">
        <f>VLOOKUP(AE2,Sheet2!$A$2:$B$62,2,FALSE)</f>
        <v>Ideal number of children</v>
      </c>
      <c r="AF17" t="str">
        <f>VLOOKUP(AF2,Sheet2!$A$2:$B$62,2,FALSE)</f>
        <v>Body Mass Index</v>
      </c>
    </row>
    <row r="18" spans="1:32" x14ac:dyDescent="0.25">
      <c r="A18">
        <f>A9</f>
        <v>1</v>
      </c>
      <c r="B18">
        <f t="shared" ref="B18:AF18" si="0">B9</f>
        <v>100</v>
      </c>
      <c r="C18">
        <f t="shared" si="0"/>
        <v>100</v>
      </c>
      <c r="D18">
        <f t="shared" si="0"/>
        <v>100</v>
      </c>
      <c r="E18">
        <f t="shared" si="0"/>
        <v>100</v>
      </c>
      <c r="F18">
        <f t="shared" si="0"/>
        <v>100</v>
      </c>
      <c r="G18">
        <f t="shared" si="0"/>
        <v>100</v>
      </c>
      <c r="H18">
        <f t="shared" si="0"/>
        <v>100</v>
      </c>
      <c r="I18">
        <f t="shared" si="0"/>
        <v>100</v>
      </c>
      <c r="J18">
        <f t="shared" si="0"/>
        <v>100</v>
      </c>
      <c r="K18">
        <f t="shared" si="0"/>
        <v>100</v>
      </c>
      <c r="L18">
        <f t="shared" si="0"/>
        <v>100</v>
      </c>
      <c r="M18">
        <f t="shared" si="0"/>
        <v>100</v>
      </c>
      <c r="N18">
        <f>N9</f>
        <v>100</v>
      </c>
      <c r="O18">
        <f t="shared" si="0"/>
        <v>100</v>
      </c>
      <c r="P18">
        <f t="shared" si="0"/>
        <v>100</v>
      </c>
      <c r="Q18">
        <f t="shared" si="0"/>
        <v>100</v>
      </c>
      <c r="R18">
        <f>R9</f>
        <v>100</v>
      </c>
      <c r="S18">
        <f t="shared" si="0"/>
        <v>100</v>
      </c>
      <c r="T18">
        <f t="shared" si="0"/>
        <v>100</v>
      </c>
      <c r="U18">
        <f t="shared" si="0"/>
        <v>100</v>
      </c>
      <c r="V18">
        <f t="shared" si="0"/>
        <v>100</v>
      </c>
      <c r="W18">
        <f t="shared" si="0"/>
        <v>100</v>
      </c>
      <c r="X18">
        <f t="shared" si="0"/>
        <v>100</v>
      </c>
      <c r="Y18">
        <f t="shared" si="0"/>
        <v>100</v>
      </c>
      <c r="Z18">
        <f t="shared" si="0"/>
        <v>100</v>
      </c>
      <c r="AA18">
        <f t="shared" si="0"/>
        <v>100</v>
      </c>
      <c r="AB18">
        <f t="shared" si="0"/>
        <v>100</v>
      </c>
      <c r="AC18">
        <f t="shared" si="0"/>
        <v>100</v>
      </c>
      <c r="AD18">
        <f t="shared" si="0"/>
        <v>100</v>
      </c>
      <c r="AE18">
        <f t="shared" si="0"/>
        <v>100</v>
      </c>
      <c r="AF18">
        <f t="shared" si="0"/>
        <v>100</v>
      </c>
    </row>
    <row r="19" spans="1:32" x14ac:dyDescent="0.25">
      <c r="A19">
        <f>A3</f>
        <v>2</v>
      </c>
      <c r="B19" t="str">
        <f>VLOOKUP(B3,Sheet2!$A$2:$B$62,2,FALSE)</f>
        <v>Ideal number of children</v>
      </c>
      <c r="C19" t="str">
        <f>VLOOKUP(C3,Sheet2!$A$2:$B$62,2,FALSE)</f>
        <v>Time for HH to get to water source</v>
      </c>
      <c r="D19" t="str">
        <f>VLOOKUP(D3,Sheet2!$A$2:$B$62,2,FALSE)</f>
        <v>Number of HH members</v>
      </c>
      <c r="E19" t="str">
        <f>VLOOKUP(E3,Sheet2!$A$2:$B$62,2,FALSE)</f>
        <v>Tested for HIV</v>
      </c>
      <c r="F19" t="e">
        <f>VLOOKUP(F3,Sheet2!$A$2:$B$62,2,FALSE)</f>
        <v>#N/A</v>
      </c>
      <c r="G19" t="str">
        <f>VLOOKUP(G3,Sheet2!$A$2:$B$62,2,FALSE)</f>
        <v>Ideal number of children</v>
      </c>
      <c r="H19" t="str">
        <f>VLOOKUP(H3,Sheet2!$A$2:$B$62,2,FALSE)</f>
        <v>Ideal number of children</v>
      </c>
      <c r="I19" t="str">
        <f>VLOOKUP(I3,Sheet2!$A$2:$B$62,2,FALSE)</f>
        <v>Number of HH members</v>
      </c>
      <c r="J19" t="str">
        <f>VLOOKUP(J3,Sheet2!$A$2:$B$62,2,FALSE)</f>
        <v>Ideal number of children</v>
      </c>
      <c r="K19" t="str">
        <f>VLOOKUP(K3,Sheet2!$A$2:$B$62,2,FALSE)</f>
        <v>Number of HH members</v>
      </c>
      <c r="L19" t="str">
        <f>VLOOKUP(L3,Sheet2!$A$2:$B$62,2,FALSE)</f>
        <v>Heard of STI</v>
      </c>
      <c r="M19" t="str">
        <f>VLOOKUP(M3,Sheet2!$A$2:$B$62,2,FALSE)</f>
        <v>Body Mass Index</v>
      </c>
      <c r="N19" t="str">
        <f>VLOOKUP(N3,Sheet2!$A$2:$B$62,2,FALSE)</f>
        <v>Number of cattle owned</v>
      </c>
      <c r="O19" t="str">
        <f>VLOOKUP(O3,Sheet2!$A$2:$B$62,2,FALSE)</f>
        <v>Number of HH members</v>
      </c>
      <c r="P19" t="str">
        <f>VLOOKUP(P3,Sheet2!$A$2:$B$62,2,FALSE)</f>
        <v>Tested for HIV</v>
      </c>
      <c r="Q19" t="str">
        <f>VLOOKUP(Q3,Sheet2!$A$2:$B$62,2,FALSE)</f>
        <v>*Currently working</v>
      </c>
      <c r="R19" t="str">
        <f>VLOOKUP(R3,Sheet2!$A$2:$B$62,2,FALSE)</f>
        <v>Number of mosquitonets</v>
      </c>
      <c r="S19" t="str">
        <f>VLOOKUP(S3,Sheet2!$A$2:$B$62,2,FALSE)</f>
        <v>Number of mosquitonets</v>
      </c>
      <c r="T19" t="str">
        <f>VLOOKUP(T3,Sheet2!$A$2:$B$62,2,FALSE)</f>
        <v>Ideal number of children</v>
      </c>
      <c r="U19" t="str">
        <f>VLOOKUP(U3,Sheet2!$A$2:$B$62,2,FALSE)</f>
        <v>Ideal number of children</v>
      </c>
      <c r="V19" t="str">
        <f>VLOOKUP(V3,Sheet2!$A$2:$B$62,2,FALSE)</f>
        <v>Number of HH members</v>
      </c>
      <c r="W19" t="str">
        <f>VLOOKUP(W3,Sheet2!$A$2:$B$62,2,FALSE)</f>
        <v>Ideal number of children</v>
      </c>
      <c r="X19" t="str">
        <f>VLOOKUP(X3,Sheet2!$A$2:$B$62,2,FALSE)</f>
        <v>Ideal number of children</v>
      </c>
      <c r="Y19" t="str">
        <f>VLOOKUP(Y3,Sheet2!$A$2:$B$62,2,FALSE)</f>
        <v>Number of HH members</v>
      </c>
      <c r="Z19" t="str">
        <f>VLOOKUP(Z3,Sheet2!$A$2:$B$62,2,FALSE)</f>
        <v>Ideal number of children</v>
      </c>
      <c r="AA19" t="e">
        <f>VLOOKUP(AA3,Sheet2!$A$2:$B$62,2,FALSE)</f>
        <v>#N/A</v>
      </c>
      <c r="AB19" t="str">
        <f>VLOOKUP(AB3,Sheet2!$A$2:$B$62,2,FALSE)</f>
        <v>Number of mosquitonets</v>
      </c>
      <c r="AC19" t="e">
        <f>VLOOKUP(AC3,Sheet2!$A$2:$B$62,2,FALSE)</f>
        <v>#N/A</v>
      </c>
      <c r="AD19" t="str">
        <f>VLOOKUP(AD3,Sheet2!$A$2:$B$62,2,FALSE)</f>
        <v>Language: Runyankole rukiga</v>
      </c>
      <c r="AE19" t="str">
        <f>VLOOKUP(AE3,Sheet2!$A$2:$B$62,2,FALSE)</f>
        <v>Number of HH members</v>
      </c>
      <c r="AF19" t="str">
        <f>VLOOKUP(AF3,Sheet2!$A$2:$B$62,2,FALSE)</f>
        <v>Number of HH members</v>
      </c>
    </row>
    <row r="20" spans="1:32" x14ac:dyDescent="0.25">
      <c r="A20">
        <f>A10</f>
        <v>2</v>
      </c>
      <c r="B20">
        <f t="shared" ref="B20:AF20" si="1">B10</f>
        <v>90.569932597263104</v>
      </c>
      <c r="C20">
        <f t="shared" si="1"/>
        <v>70.341727306296704</v>
      </c>
      <c r="D20">
        <f t="shared" si="1"/>
        <v>96.250028834386697</v>
      </c>
      <c r="E20">
        <f t="shared" si="1"/>
        <v>72.825393657999498</v>
      </c>
      <c r="F20">
        <f t="shared" si="1"/>
        <v>67.680518590588704</v>
      </c>
      <c r="G20">
        <f t="shared" si="1"/>
        <v>57.5247852135793</v>
      </c>
      <c r="H20">
        <f t="shared" si="1"/>
        <v>75.320169950330495</v>
      </c>
      <c r="I20">
        <f t="shared" si="1"/>
        <v>52.070678903796697</v>
      </c>
      <c r="J20">
        <f t="shared" si="1"/>
        <v>38.941322588998197</v>
      </c>
      <c r="K20">
        <f t="shared" si="1"/>
        <v>74.951006836160602</v>
      </c>
      <c r="L20">
        <f t="shared" si="1"/>
        <v>56.954031343655402</v>
      </c>
      <c r="M20">
        <f t="shared" si="1"/>
        <v>85.687049636555003</v>
      </c>
      <c r="N20">
        <f>N10</f>
        <v>76.633308319884506</v>
      </c>
      <c r="O20">
        <f t="shared" si="1"/>
        <v>15.6348327458845</v>
      </c>
      <c r="P20">
        <f t="shared" si="1"/>
        <v>66.641775694166</v>
      </c>
      <c r="Q20">
        <f t="shared" si="1"/>
        <v>57.424689632135802</v>
      </c>
      <c r="R20">
        <f>R10</f>
        <v>78.746134655584299</v>
      </c>
      <c r="S20">
        <f t="shared" si="1"/>
        <v>50.534564683173301</v>
      </c>
      <c r="T20">
        <f t="shared" si="1"/>
        <v>91.980699431165604</v>
      </c>
      <c r="U20">
        <f t="shared" si="1"/>
        <v>32.691861371418298</v>
      </c>
      <c r="V20">
        <f t="shared" si="1"/>
        <v>96.513865821633104</v>
      </c>
      <c r="W20">
        <f t="shared" si="1"/>
        <v>90.384096322411594</v>
      </c>
      <c r="X20">
        <f t="shared" si="1"/>
        <v>85.118472731435006</v>
      </c>
      <c r="Y20">
        <f t="shared" si="1"/>
        <v>30.428377385466</v>
      </c>
      <c r="Z20">
        <f t="shared" si="1"/>
        <v>92.687328805214705</v>
      </c>
      <c r="AA20">
        <f t="shared" si="1"/>
        <v>83.198833105018394</v>
      </c>
      <c r="AB20">
        <f t="shared" si="1"/>
        <v>62.888645835268498</v>
      </c>
      <c r="AC20">
        <f t="shared" si="1"/>
        <v>78.4800245322796</v>
      </c>
      <c r="AD20">
        <f t="shared" si="1"/>
        <v>94.316911362530107</v>
      </c>
      <c r="AE20">
        <f t="shared" si="1"/>
        <v>85.085019597198894</v>
      </c>
      <c r="AF20">
        <f t="shared" si="1"/>
        <v>37.879215868057003</v>
      </c>
    </row>
    <row r="21" spans="1:32" x14ac:dyDescent="0.25">
      <c r="A21">
        <f>A4</f>
        <v>3</v>
      </c>
      <c r="B21" t="str">
        <f>VLOOKUP(B4,Sheet2!$A$2:$B$62,2,FALSE)</f>
        <v>Number of mosquitonets</v>
      </c>
      <c r="C21" t="str">
        <f>VLOOKUP(C4,Sheet2!$A$2:$B$62,2,FALSE)</f>
        <v>Number of HH members</v>
      </c>
      <c r="D21" t="e">
        <f>VLOOKUP(D4,Sheet2!$A$2:$B$62,2,FALSE)</f>
        <v>#N/A</v>
      </c>
      <c r="E21" t="e">
        <f>VLOOKUP(E4,Sheet2!$A$2:$B$62,2,FALSE)</f>
        <v>#N/A</v>
      </c>
      <c r="F21" t="str">
        <f>VLOOKUP(F4,Sheet2!$A$2:$B$62,2,FALSE)</f>
        <v>Health card for child</v>
      </c>
      <c r="G21" t="str">
        <f>VLOOKUP(G4,Sheet2!$A$2:$B$62,2,FALSE)</f>
        <v>Number of HH members</v>
      </c>
      <c r="H21" t="str">
        <f>VLOOKUP(H4,Sheet2!$A$2:$B$62,2,FALSE)</f>
        <v>Number of HH members</v>
      </c>
      <c r="I21" t="str">
        <f>VLOOKUP(I4,Sheet2!$A$2:$B$62,2,FALSE)</f>
        <v>Ideal number of children</v>
      </c>
      <c r="J21" t="str">
        <f>VLOOKUP(J4,Sheet2!$A$2:$B$62,2,FALSE)</f>
        <v>Number of HH members</v>
      </c>
      <c r="K21" t="e">
        <f>VLOOKUP(K4,Sheet2!$A$2:$B$62,2,FALSE)</f>
        <v>#N/A</v>
      </c>
      <c r="L21" t="str">
        <f>VLOOKUP(L4,Sheet2!$A$2:$B$62,2,FALSE)</f>
        <v>Number of mosquitonets</v>
      </c>
      <c r="M21" t="str">
        <f>VLOOKUP(M4,Sheet2!$A$2:$B$62,2,FALSE)</f>
        <v>Ideal number of children</v>
      </c>
      <c r="N21" t="str">
        <f>VLOOKUP(N4,Sheet2!$A$2:$B$62,2,FALSE)</f>
        <v>Ideal number of children</v>
      </c>
      <c r="O21" t="str">
        <f>VLOOKUP(O4,Sheet2!$A$2:$B$62,2,FALSE)</f>
        <v>*Currently working</v>
      </c>
      <c r="P21" t="e">
        <f>VLOOKUP(P4,Sheet2!$A$2:$B$62,2,FALSE)</f>
        <v>#N/A</v>
      </c>
      <c r="Q21" t="str">
        <f>VLOOKUP(Q4,Sheet2!$A$2:$B$62,2,FALSE)</f>
        <v>Number of HH members</v>
      </c>
      <c r="R21" t="str">
        <f>VLOOKUP(R4,Sheet2!$A$2:$B$62,2,FALSE)</f>
        <v>Tested for HIV</v>
      </c>
      <c r="S21" t="str">
        <f>VLOOKUP(S4,Sheet2!$A$2:$B$62,2,FALSE)</f>
        <v>Number of HH members &lt;5 years</v>
      </c>
      <c r="T21" t="str">
        <f>VLOOKUP(T4,Sheet2!$A$2:$B$62,2,FALSE)</f>
        <v>Number of cattle owned</v>
      </c>
      <c r="U21" t="str">
        <f>VLOOKUP(U4,Sheet2!$A$2:$B$62,2,FALSE)</f>
        <v>Number of HH members</v>
      </c>
      <c r="V21" t="str">
        <f>VLOOKUP(V4,Sheet2!$A$2:$B$62,2,FALSE)</f>
        <v>Number of mosquitonets</v>
      </c>
      <c r="W21" t="e">
        <f>VLOOKUP(W4,Sheet2!$A$2:$B$62,2,FALSE)</f>
        <v>#N/A</v>
      </c>
      <c r="X21" t="str">
        <f>VLOOKUP(X4,Sheet2!$A$2:$B$62,2,FALSE)</f>
        <v>Number of mosquitonets</v>
      </c>
      <c r="Y21" t="str">
        <f>VLOOKUP(Y4,Sheet2!$A$2:$B$62,2,FALSE)</f>
        <v>Number of mosquitonets</v>
      </c>
      <c r="Z21" t="e">
        <f>VLOOKUP(Z4,Sheet2!$A$2:$B$62,2,FALSE)</f>
        <v>#N/A</v>
      </c>
      <c r="AA21" t="str">
        <f>VLOOKUP(AA4,Sheet2!$A$2:$B$62,2,FALSE)</f>
        <v>Ideal number of children</v>
      </c>
      <c r="AB21" t="str">
        <f>VLOOKUP(AB4,Sheet2!$A$2:$B$62,2,FALSE)</f>
        <v>Number of HH members &lt;5 years</v>
      </c>
      <c r="AC21" t="str">
        <f>VLOOKUP(AC4,Sheet2!$A$2:$B$62,2,FALSE)</f>
        <v>Tested for HIV</v>
      </c>
      <c r="AD21" t="str">
        <f>VLOOKUP(AD4,Sheet2!$A$2:$B$62,2,FALSE)</f>
        <v>Ideal number of children</v>
      </c>
      <c r="AE21" t="str">
        <f>VLOOKUP(AE4,Sheet2!$A$2:$B$62,2,FALSE)</f>
        <v>Not at all listens to radio</v>
      </c>
      <c r="AF21" t="str">
        <f>VLOOKUP(AF4,Sheet2!$A$2:$B$62,2,FALSE)</f>
        <v>Ideal number of children</v>
      </c>
    </row>
    <row r="22" spans="1:32" x14ac:dyDescent="0.25">
      <c r="A22">
        <f>A11</f>
        <v>3</v>
      </c>
      <c r="B22">
        <f t="shared" ref="B22:AF22" si="2">B11</f>
        <v>64.505938742433202</v>
      </c>
      <c r="C22">
        <f t="shared" si="2"/>
        <v>65.846686732323803</v>
      </c>
      <c r="D22">
        <f t="shared" si="2"/>
        <v>82.571126751128702</v>
      </c>
      <c r="E22">
        <f t="shared" si="2"/>
        <v>69.078418027558698</v>
      </c>
      <c r="F22">
        <f t="shared" si="2"/>
        <v>61.7489738131815</v>
      </c>
      <c r="G22">
        <f t="shared" si="2"/>
        <v>55.879870130546998</v>
      </c>
      <c r="H22">
        <f t="shared" si="2"/>
        <v>66.237474725626896</v>
      </c>
      <c r="I22">
        <f t="shared" si="2"/>
        <v>38.423308928525302</v>
      </c>
      <c r="J22">
        <f t="shared" si="2"/>
        <v>33.146062245423202</v>
      </c>
      <c r="K22">
        <f t="shared" si="2"/>
        <v>72.343304157898999</v>
      </c>
      <c r="L22">
        <f t="shared" si="2"/>
        <v>55.433909761382502</v>
      </c>
      <c r="M22">
        <f t="shared" si="2"/>
        <v>77.556461065042797</v>
      </c>
      <c r="N22">
        <f>N11</f>
        <v>69.971885867558001</v>
      </c>
      <c r="O22">
        <f t="shared" si="2"/>
        <v>14.982778628317501</v>
      </c>
      <c r="P22">
        <f t="shared" si="2"/>
        <v>50.6526437255337</v>
      </c>
      <c r="Q22">
        <f t="shared" si="2"/>
        <v>56.1670008394956</v>
      </c>
      <c r="R22">
        <f>R11</f>
        <v>66.742746600213906</v>
      </c>
      <c r="S22">
        <f t="shared" si="2"/>
        <v>44.765114925964397</v>
      </c>
      <c r="T22">
        <f t="shared" si="2"/>
        <v>80.255032564109797</v>
      </c>
      <c r="U22">
        <f t="shared" si="2"/>
        <v>28.574548734921098</v>
      </c>
      <c r="V22">
        <f t="shared" si="2"/>
        <v>57.306485917717303</v>
      </c>
      <c r="W22">
        <f t="shared" si="2"/>
        <v>78.283319182011496</v>
      </c>
      <c r="X22">
        <f t="shared" si="2"/>
        <v>51.059680309059601</v>
      </c>
      <c r="Y22">
        <f t="shared" si="2"/>
        <v>25.158483226787801</v>
      </c>
      <c r="Z22">
        <f t="shared" si="2"/>
        <v>80.0731490388239</v>
      </c>
      <c r="AA22">
        <f t="shared" si="2"/>
        <v>68.327206701855303</v>
      </c>
      <c r="AB22">
        <f t="shared" si="2"/>
        <v>60.056537058710603</v>
      </c>
      <c r="AC22">
        <f t="shared" si="2"/>
        <v>78.128446853554294</v>
      </c>
      <c r="AD22">
        <f t="shared" si="2"/>
        <v>77.338985166340905</v>
      </c>
      <c r="AE22">
        <f t="shared" si="2"/>
        <v>64.333643878767703</v>
      </c>
      <c r="AF22">
        <f t="shared" si="2"/>
        <v>34.302059405512097</v>
      </c>
    </row>
    <row r="23" spans="1:32" x14ac:dyDescent="0.25">
      <c r="A23">
        <f>A5</f>
        <v>4</v>
      </c>
      <c r="B23" t="str">
        <f>VLOOKUP(B5,Sheet2!$A$2:$B$62,2,FALSE)</f>
        <v>Number of HH members &lt;5 years</v>
      </c>
      <c r="C23" t="str">
        <f>VLOOKUP(C5,Sheet2!$A$2:$B$62,2,FALSE)</f>
        <v>Ideal number of children</v>
      </c>
      <c r="D23" t="str">
        <f>VLOOKUP(D5,Sheet2!$A$2:$B$62,2,FALSE)</f>
        <v>Number of male HH members</v>
      </c>
      <c r="E23" t="e">
        <f>VLOOKUP(E5,Sheet2!$A$2:$B$62,2,FALSE)</f>
        <v>#N/A</v>
      </c>
      <c r="F23" t="str">
        <f>VLOOKUP(F5,Sheet2!$A$2:$B$62,2,FALSE)</f>
        <v>Number of mosquitonets</v>
      </c>
      <c r="G23" t="str">
        <f>VLOOKUP(G5,Sheet2!$A$2:$B$62,2,FALSE)</f>
        <v>Number of mosquitonets</v>
      </c>
      <c r="H23" t="e">
        <f>VLOOKUP(H5,Sheet2!$A$2:$B$62,2,FALSE)</f>
        <v>#N/A</v>
      </c>
      <c r="I23" t="str">
        <f>VLOOKUP(I5,Sheet2!$A$2:$B$62,2,FALSE)</f>
        <v>Number of male HH members</v>
      </c>
      <c r="J23" t="e">
        <f>VLOOKUP(J5,Sheet2!$A$2:$B$62,2,FALSE)</f>
        <v>#N/A</v>
      </c>
      <c r="K23" t="e">
        <f>VLOOKUP(K5,Sheet2!$A$2:$B$62,2,FALSE)</f>
        <v>#N/A</v>
      </c>
      <c r="L23" t="str">
        <f>VLOOKUP(L5,Sheet2!$A$2:$B$62,2,FALSE)</f>
        <v>Number of HH members &lt;5 years</v>
      </c>
      <c r="M23" t="e">
        <f>VLOOKUP(M5,Sheet2!$A$2:$B$62,2,FALSE)</f>
        <v>#N/A</v>
      </c>
      <c r="N23" t="str">
        <f>VLOOKUP(N5,Sheet2!$A$2:$B$62,2,FALSE)</f>
        <v>Number of HH members &lt;5 years</v>
      </c>
      <c r="O23" t="str">
        <f>VLOOKUP(O5,Sheet2!$A$2:$B$62,2,FALSE)</f>
        <v>Ideal number of children</v>
      </c>
      <c r="P23" t="str">
        <f>VLOOKUP(P5,Sheet2!$A$2:$B$62,2,FALSE)</f>
        <v>Not at all listens to radio</v>
      </c>
      <c r="Q23" t="str">
        <f>VLOOKUP(Q5,Sheet2!$A$2:$B$62,2,FALSE)</f>
        <v>Ideal number of children</v>
      </c>
      <c r="R23" t="str">
        <f>VLOOKUP(R5,Sheet2!$A$2:$B$62,2,FALSE)</f>
        <v>Heard of family planning via any media form</v>
      </c>
      <c r="S23" t="e">
        <f>VLOOKUP(S5,Sheet2!$A$2:$B$62,2,FALSE)</f>
        <v>#N/A</v>
      </c>
      <c r="T23" t="str">
        <f>VLOOKUP(T5,Sheet2!$A$2:$B$62,2,FALSE)</f>
        <v>Number of HH members &lt;5 years</v>
      </c>
      <c r="U23" t="e">
        <f>VLOOKUP(U5,Sheet2!$A$2:$B$62,2,FALSE)</f>
        <v>#N/A</v>
      </c>
      <c r="V23" t="str">
        <f>VLOOKUP(V5,Sheet2!$A$2:$B$62,2,FALSE)</f>
        <v>Language: Yoruba</v>
      </c>
      <c r="W23" t="str">
        <f>VLOOKUP(W5,Sheet2!$A$2:$B$62,2,FALSE)</f>
        <v>Number of mosquitonets</v>
      </c>
      <c r="X23" t="str">
        <f>VLOOKUP(X5,Sheet2!$A$2:$B$62,2,FALSE)</f>
        <v>Number of cattle owned</v>
      </c>
      <c r="Y23" t="str">
        <f>VLOOKUP(Y5,Sheet2!$A$2:$B$62,2,FALSE)</f>
        <v>Tested for HIV</v>
      </c>
      <c r="Z23" t="str">
        <f>VLOOKUP(Z5,Sheet2!$A$2:$B$62,2,FALSE)</f>
        <v>Language: Krio</v>
      </c>
      <c r="AA23" t="str">
        <f>VLOOKUP(AA5,Sheet2!$A$2:$B$62,2,FALSE)</f>
        <v>Contraceptive requires access to health facility</v>
      </c>
      <c r="AB23" t="str">
        <f>VLOOKUP(AB5,Sheet2!$A$2:$B$62,2,FALSE)</f>
        <v>Number of male HH members</v>
      </c>
      <c r="AC23" t="str">
        <f>VLOOKUP(AC5,Sheet2!$A$2:$B$62,2,FALSE)</f>
        <v>Number of HH members</v>
      </c>
      <c r="AD23" t="str">
        <f>VLOOKUP(AD5,Sheet2!$A$2:$B$62,2,FALSE)</f>
        <v>Number of HH members</v>
      </c>
      <c r="AE23" t="str">
        <f>VLOOKUP(AE5,Sheet2!$A$2:$B$62,2,FALSE)</f>
        <v>Number of mosquitonets</v>
      </c>
      <c r="AF23" t="str">
        <f>VLOOKUP(AF5,Sheet2!$A$2:$B$62,2,FALSE)</f>
        <v>Number of cattle owned</v>
      </c>
    </row>
    <row r="24" spans="1:32" x14ac:dyDescent="0.25">
      <c r="A24">
        <f>A12</f>
        <v>4</v>
      </c>
      <c r="B24">
        <f t="shared" ref="B24:AF24" si="3">B12</f>
        <v>53.774077837034397</v>
      </c>
      <c r="C24">
        <f t="shared" si="3"/>
        <v>51.561412870996499</v>
      </c>
      <c r="D24">
        <f t="shared" si="3"/>
        <v>41.025245525431998</v>
      </c>
      <c r="E24">
        <f t="shared" si="3"/>
        <v>66.941502724159704</v>
      </c>
      <c r="F24">
        <f t="shared" si="3"/>
        <v>55.496396478385698</v>
      </c>
      <c r="G24">
        <f t="shared" si="3"/>
        <v>29.799902387340499</v>
      </c>
      <c r="H24">
        <f t="shared" si="3"/>
        <v>44.734249353733297</v>
      </c>
      <c r="I24">
        <f t="shared" si="3"/>
        <v>25.838405810156299</v>
      </c>
      <c r="J24">
        <f t="shared" si="3"/>
        <v>24.696424643230198</v>
      </c>
      <c r="K24">
        <f t="shared" si="3"/>
        <v>64.054745393843305</v>
      </c>
      <c r="L24">
        <f t="shared" si="3"/>
        <v>49.005963059541799</v>
      </c>
      <c r="M24">
        <f t="shared" si="3"/>
        <v>48.9106053520308</v>
      </c>
      <c r="N24">
        <f>N12</f>
        <v>38.542023432580898</v>
      </c>
      <c r="O24">
        <f t="shared" si="3"/>
        <v>13.428385668975301</v>
      </c>
      <c r="P24">
        <f t="shared" si="3"/>
        <v>48.150415017534698</v>
      </c>
      <c r="Q24">
        <f t="shared" si="3"/>
        <v>39.842200820738199</v>
      </c>
      <c r="R24">
        <f>R12</f>
        <v>61.626118032495199</v>
      </c>
      <c r="S24">
        <f t="shared" si="3"/>
        <v>41.895142931091698</v>
      </c>
      <c r="T24">
        <f t="shared" si="3"/>
        <v>48.710528628042603</v>
      </c>
      <c r="U24">
        <f t="shared" si="3"/>
        <v>23.481493707674101</v>
      </c>
      <c r="V24">
        <f t="shared" si="3"/>
        <v>56.757589378455997</v>
      </c>
      <c r="W24">
        <f t="shared" si="3"/>
        <v>54.177674741261498</v>
      </c>
      <c r="X24">
        <f t="shared" si="3"/>
        <v>45.096244847201703</v>
      </c>
      <c r="Y24">
        <f t="shared" si="3"/>
        <v>14.365856097729599</v>
      </c>
      <c r="Z24">
        <f t="shared" si="3"/>
        <v>68.510059928105804</v>
      </c>
      <c r="AA24">
        <f t="shared" si="3"/>
        <v>59.219781813145303</v>
      </c>
      <c r="AB24">
        <f t="shared" si="3"/>
        <v>50.106904890176899</v>
      </c>
      <c r="AC24">
        <f t="shared" si="3"/>
        <v>51.649334532394001</v>
      </c>
      <c r="AD24">
        <f t="shared" si="3"/>
        <v>59.748786709589801</v>
      </c>
      <c r="AE24">
        <f t="shared" si="3"/>
        <v>62.938312477399599</v>
      </c>
      <c r="AF24">
        <f t="shared" si="3"/>
        <v>26.763817141751399</v>
      </c>
    </row>
    <row r="25" spans="1:32" x14ac:dyDescent="0.25">
      <c r="A25">
        <f>A6</f>
        <v>5</v>
      </c>
      <c r="B25" t="str">
        <f>VLOOKUP(B6,Sheet2!$A$2:$B$62,2,FALSE)</f>
        <v>Number of male HH members</v>
      </c>
      <c r="C25" t="str">
        <f>VLOOKUP(C6,Sheet2!$A$2:$B$62,2,FALSE)</f>
        <v>Health card for child</v>
      </c>
      <c r="D25" t="str">
        <f>VLOOKUP(D6,Sheet2!$A$2:$B$62,2,FALSE)</f>
        <v>Number of HH members &lt;5 years</v>
      </c>
      <c r="E25" t="e">
        <f>VLOOKUP(E6,Sheet2!$A$2:$B$62,2,FALSE)</f>
        <v>#N/A</v>
      </c>
      <c r="F25" t="str">
        <f>VLOOKUP(F6,Sheet2!$A$2:$B$62,2,FALSE)</f>
        <v>Number of HH members &lt;5 years</v>
      </c>
      <c r="G25" t="e">
        <f>VLOOKUP(G6,Sheet2!$A$2:$B$62,2,FALSE)</f>
        <v>#N/A</v>
      </c>
      <c r="H25" t="str">
        <f>VLOOKUP(H6,Sheet2!$A$2:$B$62,2,FALSE)</f>
        <v>Number of mosquitonets</v>
      </c>
      <c r="I25" t="str">
        <f>VLOOKUP(I6,Sheet2!$A$2:$B$62,2,FALSE)</f>
        <v>Number of HH members &lt;5 years</v>
      </c>
      <c r="J25" t="str">
        <f>VLOOKUP(J6,Sheet2!$A$2:$B$62,2,FALSE)</f>
        <v>Tested for HIV</v>
      </c>
      <c r="K25" t="str">
        <f>VLOOKUP(K6,Sheet2!$A$2:$B$62,2,FALSE)</f>
        <v>Health card for child</v>
      </c>
      <c r="L25" t="str">
        <f>VLOOKUP(L6,Sheet2!$A$2:$B$62,2,FALSE)</f>
        <v>Number of male HH members</v>
      </c>
      <c r="M25" t="e">
        <f>VLOOKUP(M6,Sheet2!$A$2:$B$62,2,FALSE)</f>
        <v>#N/A</v>
      </c>
      <c r="N25" t="str">
        <f>VLOOKUP(N6,Sheet2!$A$2:$B$62,2,FALSE)</f>
        <v>Number of male HH members</v>
      </c>
      <c r="O25" t="str">
        <f>VLOOKUP(O6,Sheet2!$A$2:$B$62,2,FALSE)</f>
        <v>Contraceptive requires access to health facility</v>
      </c>
      <c r="P25" t="str">
        <f>VLOOKUP(P6,Sheet2!$A$2:$B$62,2,FALSE)</f>
        <v>Number of mosquitonets</v>
      </c>
      <c r="Q25" t="str">
        <f>VLOOKUP(Q6,Sheet2!$A$2:$B$62,2,FALSE)</f>
        <v>Number of mosquitonets</v>
      </c>
      <c r="R25" t="e">
        <f>VLOOKUP(R6,Sheet2!$A$2:$B$62,2,FALSE)</f>
        <v>#N/A</v>
      </c>
      <c r="S25" t="e">
        <f>VLOOKUP(S6,Sheet2!$A$2:$B$62,2,FALSE)</f>
        <v>#N/A</v>
      </c>
      <c r="T25" t="e">
        <f>VLOOKUP(T6,Sheet2!$A$2:$B$62,2,FALSE)</f>
        <v>#N/A</v>
      </c>
      <c r="U25" t="str">
        <f>VLOOKUP(U6,Sheet2!$A$2:$B$62,2,FALSE)</f>
        <v>Tested for HIV</v>
      </c>
      <c r="V25" t="e">
        <f>VLOOKUP(V6,Sheet2!$A$2:$B$62,2,FALSE)</f>
        <v>#N/A</v>
      </c>
      <c r="W25" t="str">
        <f>VLOOKUP(W6,Sheet2!$A$2:$B$62,2,FALSE)</f>
        <v>Number of HH members &lt;5 years</v>
      </c>
      <c r="X25" t="e">
        <f>VLOOKUP(X6,Sheet2!$A$2:$B$62,2,FALSE)</f>
        <v>#N/A</v>
      </c>
      <c r="Y25" t="str">
        <f>VLOOKUP(Y6,Sheet2!$A$2:$B$62,2,FALSE)</f>
        <v>Number of HH members &lt;5 years</v>
      </c>
      <c r="Z25" t="str">
        <f>VLOOKUP(Z6,Sheet2!$A$2:$B$62,2,FALSE)</f>
        <v>Number of mosquitonets</v>
      </c>
      <c r="AA25" t="str">
        <f>VLOOKUP(AA6,Sheet2!$A$2:$B$62,2,FALSE)</f>
        <v>Number of HH members</v>
      </c>
      <c r="AB25" t="e">
        <f>VLOOKUP(AB6,Sheet2!$A$2:$B$62,2,FALSE)</f>
        <v>#N/A</v>
      </c>
      <c r="AC25" t="str">
        <f>VLOOKUP(AC6,Sheet2!$A$2:$B$62,2,FALSE)</f>
        <v>Involved in decision about own healthcare</v>
      </c>
      <c r="AD25" t="str">
        <f>VLOOKUP(AD6,Sheet2!$A$2:$B$62,2,FALSE)</f>
        <v>Number of HH members &lt;5 years</v>
      </c>
      <c r="AE25" t="str">
        <f>VLOOKUP(AE6,Sheet2!$A$2:$B$62,2,FALSE)</f>
        <v>Contraceptive requires access to health facility</v>
      </c>
      <c r="AF25" t="str">
        <f>VLOOKUP(AF6,Sheet2!$A$2:$B$62,2,FALSE)</f>
        <v>Tested for HIV</v>
      </c>
    </row>
    <row r="26" spans="1:32" x14ac:dyDescent="0.25">
      <c r="A26">
        <f>A13</f>
        <v>5</v>
      </c>
      <c r="B26">
        <f t="shared" ref="B26:AF26" si="4">B13</f>
        <v>39.951596414649401</v>
      </c>
      <c r="C26">
        <f t="shared" si="4"/>
        <v>49.629297177781197</v>
      </c>
      <c r="D26">
        <f t="shared" si="4"/>
        <v>40.000665331437297</v>
      </c>
      <c r="E26">
        <f t="shared" si="4"/>
        <v>56.5525260389756</v>
      </c>
      <c r="F26">
        <f t="shared" si="4"/>
        <v>45.849359050737398</v>
      </c>
      <c r="G26">
        <f t="shared" si="4"/>
        <v>26.934847302485998</v>
      </c>
      <c r="H26">
        <f t="shared" si="4"/>
        <v>37.468645413531902</v>
      </c>
      <c r="I26">
        <f t="shared" si="4"/>
        <v>22.8492430645253</v>
      </c>
      <c r="J26">
        <f t="shared" si="4"/>
        <v>24.227307684561801</v>
      </c>
      <c r="K26">
        <f t="shared" si="4"/>
        <v>61.932523279589198</v>
      </c>
      <c r="L26">
        <f t="shared" si="4"/>
        <v>48.381193432398398</v>
      </c>
      <c r="M26">
        <f t="shared" si="4"/>
        <v>31.322638857363099</v>
      </c>
      <c r="N26">
        <f>N13</f>
        <v>35.8863532907557</v>
      </c>
      <c r="O26">
        <f t="shared" si="4"/>
        <v>13.288134380220001</v>
      </c>
      <c r="P26">
        <f t="shared" si="4"/>
        <v>35.4814489924523</v>
      </c>
      <c r="Q26">
        <f t="shared" si="4"/>
        <v>36.2878560953991</v>
      </c>
      <c r="R26">
        <f>R13</f>
        <v>51.840777300675597</v>
      </c>
      <c r="S26">
        <f t="shared" si="4"/>
        <v>39.913241972598499</v>
      </c>
      <c r="T26">
        <f t="shared" si="4"/>
        <v>48.683760870765703</v>
      </c>
      <c r="U26">
        <f t="shared" si="4"/>
        <v>19.275463443842298</v>
      </c>
      <c r="V26">
        <f t="shared" si="4"/>
        <v>50.792992853734503</v>
      </c>
      <c r="W26">
        <f t="shared" si="4"/>
        <v>48.738148902659702</v>
      </c>
      <c r="X26">
        <f t="shared" si="4"/>
        <v>45.076424215832098</v>
      </c>
      <c r="Y26">
        <f t="shared" si="4"/>
        <v>13.918047879769</v>
      </c>
      <c r="Z26">
        <f t="shared" si="4"/>
        <v>61.747949940536401</v>
      </c>
      <c r="AA26">
        <f t="shared" si="4"/>
        <v>47.618313672278198</v>
      </c>
      <c r="AB26">
        <f t="shared" si="4"/>
        <v>48.443810492485497</v>
      </c>
      <c r="AC26">
        <f t="shared" si="4"/>
        <v>50.400775084237502</v>
      </c>
      <c r="AD26">
        <f t="shared" si="4"/>
        <v>54.429580990463599</v>
      </c>
      <c r="AE26">
        <f t="shared" si="4"/>
        <v>51.125060628341302</v>
      </c>
      <c r="AF26">
        <f t="shared" si="4"/>
        <v>22.973683789318301</v>
      </c>
    </row>
    <row r="27" spans="1:32" x14ac:dyDescent="0.25">
      <c r="C27" s="5"/>
      <c r="E27" s="5"/>
      <c r="G27" s="5"/>
      <c r="I27" s="5"/>
      <c r="K27" s="5"/>
    </row>
    <row r="28" spans="1:32" x14ac:dyDescent="0.25">
      <c r="C28" s="5"/>
      <c r="E28" s="5"/>
      <c r="G28" s="5"/>
      <c r="I28" s="5"/>
      <c r="K28" s="5"/>
    </row>
    <row r="29" spans="1:32" x14ac:dyDescent="0.25">
      <c r="A29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t="s">
        <v>17</v>
      </c>
      <c r="T29" t="s">
        <v>18</v>
      </c>
      <c r="U29" t="s">
        <v>19</v>
      </c>
      <c r="V29" t="s">
        <v>20</v>
      </c>
      <c r="W29" t="s">
        <v>21</v>
      </c>
      <c r="X29" t="s">
        <v>22</v>
      </c>
      <c r="Y29" t="s">
        <v>23</v>
      </c>
      <c r="Z29" t="s">
        <v>24</v>
      </c>
      <c r="AA29" t="s">
        <v>25</v>
      </c>
      <c r="AB29" t="s">
        <v>26</v>
      </c>
      <c r="AC29" t="s">
        <v>27</v>
      </c>
      <c r="AD29" t="s">
        <v>28</v>
      </c>
      <c r="AE29" t="s">
        <v>29</v>
      </c>
      <c r="AF29" t="s">
        <v>30</v>
      </c>
    </row>
    <row r="30" spans="1:32" x14ac:dyDescent="0.25">
      <c r="A30">
        <v>1</v>
      </c>
      <c r="B30" t="s">
        <v>67</v>
      </c>
      <c r="C30" t="s">
        <v>60</v>
      </c>
      <c r="D30" t="s">
        <v>65</v>
      </c>
      <c r="E30" t="s">
        <v>107</v>
      </c>
      <c r="F30" t="s">
        <v>67</v>
      </c>
      <c r="G30" t="s">
        <v>113</v>
      </c>
      <c r="H30" t="s">
        <v>61</v>
      </c>
      <c r="I30" t="s">
        <v>64</v>
      </c>
      <c r="J30" t="s">
        <v>64</v>
      </c>
      <c r="K30" t="s">
        <v>138</v>
      </c>
      <c r="L30" t="s">
        <v>67</v>
      </c>
      <c r="M30" t="s">
        <v>142</v>
      </c>
      <c r="N30" t="s">
        <v>67</v>
      </c>
      <c r="O30" t="s">
        <v>156</v>
      </c>
      <c r="P30" t="s">
        <v>107</v>
      </c>
      <c r="Q30" t="s">
        <v>140</v>
      </c>
      <c r="R30" t="s">
        <v>67</v>
      </c>
      <c r="S30" t="s">
        <v>67</v>
      </c>
      <c r="T30" t="s">
        <v>67</v>
      </c>
      <c r="U30" t="s">
        <v>113</v>
      </c>
      <c r="V30" t="s">
        <v>65</v>
      </c>
      <c r="W30" t="s">
        <v>67</v>
      </c>
      <c r="X30" t="s">
        <v>67</v>
      </c>
      <c r="Y30" t="s">
        <v>156</v>
      </c>
      <c r="Z30" t="s">
        <v>67</v>
      </c>
      <c r="AA30" t="s">
        <v>64</v>
      </c>
      <c r="AB30" t="s">
        <v>67</v>
      </c>
      <c r="AC30" t="s">
        <v>113</v>
      </c>
      <c r="AD30" t="s">
        <v>156</v>
      </c>
      <c r="AE30" t="s">
        <v>65</v>
      </c>
      <c r="AF30" t="s">
        <v>64</v>
      </c>
    </row>
    <row r="31" spans="1:32" x14ac:dyDescent="0.25">
      <c r="A31">
        <v>1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</row>
    <row r="32" spans="1:32" x14ac:dyDescent="0.25">
      <c r="A32">
        <v>2</v>
      </c>
      <c r="B32" t="s">
        <v>65</v>
      </c>
      <c r="C32" t="s">
        <v>61</v>
      </c>
      <c r="D32" t="s">
        <v>67</v>
      </c>
      <c r="E32" t="s">
        <v>59</v>
      </c>
      <c r="F32" t="s">
        <v>156</v>
      </c>
      <c r="G32" t="s">
        <v>65</v>
      </c>
      <c r="H32" t="s">
        <v>65</v>
      </c>
      <c r="I32" t="s">
        <v>67</v>
      </c>
      <c r="J32" t="s">
        <v>65</v>
      </c>
      <c r="K32" t="s">
        <v>67</v>
      </c>
      <c r="L32" t="s">
        <v>154</v>
      </c>
      <c r="M32" t="s">
        <v>64</v>
      </c>
      <c r="N32" t="s">
        <v>60</v>
      </c>
      <c r="O32" t="s">
        <v>67</v>
      </c>
      <c r="P32" t="s">
        <v>59</v>
      </c>
      <c r="Q32" t="s">
        <v>137</v>
      </c>
      <c r="R32" t="s">
        <v>63</v>
      </c>
      <c r="S32" t="s">
        <v>63</v>
      </c>
      <c r="T32" t="s">
        <v>65</v>
      </c>
      <c r="U32" t="s">
        <v>65</v>
      </c>
      <c r="V32" t="s">
        <v>67</v>
      </c>
      <c r="W32" t="s">
        <v>65</v>
      </c>
      <c r="X32" t="s">
        <v>65</v>
      </c>
      <c r="Y32" t="s">
        <v>67</v>
      </c>
      <c r="Z32" t="s">
        <v>65</v>
      </c>
      <c r="AA32" t="s">
        <v>156</v>
      </c>
      <c r="AB32" t="s">
        <v>63</v>
      </c>
      <c r="AC32" t="s">
        <v>156</v>
      </c>
      <c r="AD32" t="s">
        <v>141</v>
      </c>
      <c r="AE32" t="s">
        <v>67</v>
      </c>
      <c r="AF32" t="s">
        <v>67</v>
      </c>
    </row>
    <row r="33" spans="1:32" x14ac:dyDescent="0.25">
      <c r="A33">
        <v>2</v>
      </c>
      <c r="B33">
        <v>90.569932597263104</v>
      </c>
      <c r="C33">
        <v>70.341727306296704</v>
      </c>
      <c r="D33">
        <v>96.250028834386697</v>
      </c>
      <c r="E33">
        <v>72.825393657999498</v>
      </c>
      <c r="F33">
        <v>67.680518590588704</v>
      </c>
      <c r="G33">
        <v>57.5247852135793</v>
      </c>
      <c r="H33">
        <v>75.320169950330495</v>
      </c>
      <c r="I33">
        <v>52.070678903796697</v>
      </c>
      <c r="J33">
        <v>38.941322588998197</v>
      </c>
      <c r="K33">
        <v>74.951006836160602</v>
      </c>
      <c r="L33">
        <v>56.954031343655402</v>
      </c>
      <c r="M33">
        <v>85.687049636555003</v>
      </c>
      <c r="N33">
        <v>76.633308319884506</v>
      </c>
      <c r="O33">
        <v>15.6348327458845</v>
      </c>
      <c r="P33">
        <v>66.641775694166</v>
      </c>
      <c r="Q33">
        <v>57.424689632135802</v>
      </c>
      <c r="R33">
        <v>78.746134655584299</v>
      </c>
      <c r="S33">
        <v>50.534564683173301</v>
      </c>
      <c r="T33">
        <v>91.980699431165604</v>
      </c>
      <c r="U33">
        <v>32.691861371418298</v>
      </c>
      <c r="V33">
        <v>96.513865821633104</v>
      </c>
      <c r="W33">
        <v>90.384096322411594</v>
      </c>
      <c r="X33">
        <v>85.118472731435006</v>
      </c>
      <c r="Y33">
        <v>30.428377385466</v>
      </c>
      <c r="Z33">
        <v>92.687328805214705</v>
      </c>
      <c r="AA33">
        <v>83.198833105018394</v>
      </c>
      <c r="AB33">
        <v>62.888645835268498</v>
      </c>
      <c r="AC33">
        <v>78.4800245322796</v>
      </c>
      <c r="AD33">
        <v>94.316911362530107</v>
      </c>
      <c r="AE33">
        <v>85.085019597198894</v>
      </c>
      <c r="AF33">
        <v>37.879215868057003</v>
      </c>
    </row>
    <row r="34" spans="1:32" x14ac:dyDescent="0.25">
      <c r="A34">
        <v>3</v>
      </c>
      <c r="B34" t="s">
        <v>63</v>
      </c>
      <c r="C34" t="s">
        <v>67</v>
      </c>
      <c r="D34" t="s">
        <v>156</v>
      </c>
      <c r="E34" t="s">
        <v>149</v>
      </c>
      <c r="F34" t="s">
        <v>113</v>
      </c>
      <c r="G34" t="s">
        <v>67</v>
      </c>
      <c r="H34" t="s">
        <v>67</v>
      </c>
      <c r="I34" t="s">
        <v>65</v>
      </c>
      <c r="J34" t="s">
        <v>67</v>
      </c>
      <c r="K34" t="s">
        <v>155</v>
      </c>
      <c r="L34" t="s">
        <v>63</v>
      </c>
      <c r="M34" t="s">
        <v>65</v>
      </c>
      <c r="N34" t="s">
        <v>65</v>
      </c>
      <c r="O34" t="s">
        <v>137</v>
      </c>
      <c r="P34" t="s">
        <v>156</v>
      </c>
      <c r="Q34" t="s">
        <v>67</v>
      </c>
      <c r="R34" t="s">
        <v>59</v>
      </c>
      <c r="S34" t="s">
        <v>62</v>
      </c>
      <c r="T34" t="s">
        <v>60</v>
      </c>
      <c r="U34" t="s">
        <v>67</v>
      </c>
      <c r="V34" t="s">
        <v>63</v>
      </c>
      <c r="W34" t="s">
        <v>156</v>
      </c>
      <c r="X34" t="s">
        <v>63</v>
      </c>
      <c r="Y34" t="s">
        <v>63</v>
      </c>
      <c r="Z34" t="s">
        <v>156</v>
      </c>
      <c r="AA34" t="s">
        <v>65</v>
      </c>
      <c r="AB34" t="s">
        <v>62</v>
      </c>
      <c r="AC34" t="s">
        <v>59</v>
      </c>
      <c r="AD34" t="s">
        <v>65</v>
      </c>
      <c r="AE34" t="s">
        <v>144</v>
      </c>
      <c r="AF34" t="s">
        <v>65</v>
      </c>
    </row>
    <row r="35" spans="1:32" x14ac:dyDescent="0.25">
      <c r="A35">
        <v>3</v>
      </c>
      <c r="B35">
        <v>64.505938742433202</v>
      </c>
      <c r="C35">
        <v>65.846686732323803</v>
      </c>
      <c r="D35">
        <v>82.571126751128702</v>
      </c>
      <c r="E35">
        <v>69.078418027558698</v>
      </c>
      <c r="F35">
        <v>61.7489738131815</v>
      </c>
      <c r="G35">
        <v>55.879870130546998</v>
      </c>
      <c r="H35">
        <v>66.237474725626896</v>
      </c>
      <c r="I35">
        <v>38.423308928525302</v>
      </c>
      <c r="J35">
        <v>33.146062245423202</v>
      </c>
      <c r="K35">
        <v>72.343304157898999</v>
      </c>
      <c r="L35">
        <v>55.433909761382502</v>
      </c>
      <c r="M35">
        <v>77.556461065042797</v>
      </c>
      <c r="N35">
        <v>69.971885867558001</v>
      </c>
      <c r="O35">
        <v>14.982778628317501</v>
      </c>
      <c r="P35">
        <v>50.6526437255337</v>
      </c>
      <c r="Q35">
        <v>56.1670008394956</v>
      </c>
      <c r="R35">
        <v>66.742746600213906</v>
      </c>
      <c r="S35">
        <v>44.765114925964397</v>
      </c>
      <c r="T35">
        <v>80.255032564109797</v>
      </c>
      <c r="U35">
        <v>28.574548734921098</v>
      </c>
      <c r="V35">
        <v>57.306485917717303</v>
      </c>
      <c r="W35">
        <v>78.283319182011496</v>
      </c>
      <c r="X35">
        <v>51.059680309059601</v>
      </c>
      <c r="Y35">
        <v>25.158483226787801</v>
      </c>
      <c r="Z35">
        <v>80.0731490388239</v>
      </c>
      <c r="AA35">
        <v>68.327206701855303</v>
      </c>
      <c r="AB35">
        <v>60.056537058710603</v>
      </c>
      <c r="AC35">
        <v>78.128446853554294</v>
      </c>
      <c r="AD35">
        <v>77.338985166340905</v>
      </c>
      <c r="AE35">
        <v>64.333643878767703</v>
      </c>
      <c r="AF35">
        <v>34.302059405512097</v>
      </c>
    </row>
    <row r="36" spans="1:32" x14ac:dyDescent="0.25">
      <c r="A36">
        <v>4</v>
      </c>
      <c r="B36" t="s">
        <v>62</v>
      </c>
      <c r="C36" t="s">
        <v>65</v>
      </c>
      <c r="D36" t="s">
        <v>112</v>
      </c>
      <c r="E36" t="s">
        <v>158</v>
      </c>
      <c r="F36" t="s">
        <v>63</v>
      </c>
      <c r="G36" t="s">
        <v>63</v>
      </c>
      <c r="H36" t="s">
        <v>152</v>
      </c>
      <c r="I36" t="s">
        <v>112</v>
      </c>
      <c r="J36" t="s">
        <v>156</v>
      </c>
      <c r="K36" t="s">
        <v>139</v>
      </c>
      <c r="L36" t="s">
        <v>62</v>
      </c>
      <c r="M36" t="s">
        <v>143</v>
      </c>
      <c r="N36" t="s">
        <v>62</v>
      </c>
      <c r="O36" t="s">
        <v>65</v>
      </c>
      <c r="P36" t="s">
        <v>144</v>
      </c>
      <c r="Q36" t="s">
        <v>65</v>
      </c>
      <c r="R36" t="s">
        <v>107</v>
      </c>
      <c r="S36" t="s">
        <v>156</v>
      </c>
      <c r="T36" t="s">
        <v>62</v>
      </c>
      <c r="U36" t="s">
        <v>156</v>
      </c>
      <c r="V36" t="s">
        <v>151</v>
      </c>
      <c r="W36" t="s">
        <v>63</v>
      </c>
      <c r="X36" t="s">
        <v>60</v>
      </c>
      <c r="Y36" t="s">
        <v>59</v>
      </c>
      <c r="Z36" t="s">
        <v>145</v>
      </c>
      <c r="AA36" t="s">
        <v>146</v>
      </c>
      <c r="AB36" t="s">
        <v>112</v>
      </c>
      <c r="AC36" t="s">
        <v>67</v>
      </c>
      <c r="AD36" t="s">
        <v>67</v>
      </c>
      <c r="AE36" t="s">
        <v>63</v>
      </c>
      <c r="AF36" t="s">
        <v>60</v>
      </c>
    </row>
    <row r="37" spans="1:32" x14ac:dyDescent="0.25">
      <c r="A37">
        <v>4</v>
      </c>
      <c r="B37">
        <v>53.774077837034397</v>
      </c>
      <c r="C37">
        <v>51.561412870996499</v>
      </c>
      <c r="D37">
        <v>41.025245525431998</v>
      </c>
      <c r="E37">
        <v>66.941502724159704</v>
      </c>
      <c r="F37">
        <v>55.496396478385698</v>
      </c>
      <c r="G37">
        <v>29.799902387340499</v>
      </c>
      <c r="H37">
        <v>44.734249353733297</v>
      </c>
      <c r="I37">
        <v>25.838405810156299</v>
      </c>
      <c r="J37">
        <v>24.696424643230198</v>
      </c>
      <c r="K37">
        <v>64.054745393843305</v>
      </c>
      <c r="L37">
        <v>49.005963059541799</v>
      </c>
      <c r="M37">
        <v>48.9106053520308</v>
      </c>
      <c r="N37">
        <v>38.542023432580898</v>
      </c>
      <c r="O37">
        <v>13.428385668975301</v>
      </c>
      <c r="P37">
        <v>48.150415017534698</v>
      </c>
      <c r="Q37">
        <v>39.842200820738199</v>
      </c>
      <c r="R37">
        <v>61.626118032495199</v>
      </c>
      <c r="S37">
        <v>41.895142931091698</v>
      </c>
      <c r="T37">
        <v>48.710528628042603</v>
      </c>
      <c r="U37">
        <v>23.481493707674101</v>
      </c>
      <c r="V37">
        <v>56.757589378455997</v>
      </c>
      <c r="W37">
        <v>54.177674741261498</v>
      </c>
      <c r="X37">
        <v>45.096244847201703</v>
      </c>
      <c r="Y37">
        <v>14.365856097729599</v>
      </c>
      <c r="Z37">
        <v>68.510059928105804</v>
      </c>
      <c r="AA37">
        <v>59.219781813145303</v>
      </c>
      <c r="AB37">
        <v>50.106904890176899</v>
      </c>
      <c r="AC37">
        <v>51.649334532394001</v>
      </c>
      <c r="AD37">
        <v>59.748786709589801</v>
      </c>
      <c r="AE37">
        <v>62.938312477399599</v>
      </c>
      <c r="AF37">
        <v>26.763817141751399</v>
      </c>
    </row>
    <row r="38" spans="1:32" x14ac:dyDescent="0.25">
      <c r="A38">
        <v>5</v>
      </c>
      <c r="B38" t="s">
        <v>112</v>
      </c>
      <c r="C38" t="s">
        <v>113</v>
      </c>
      <c r="D38" t="s">
        <v>62</v>
      </c>
      <c r="E38" t="s">
        <v>159</v>
      </c>
      <c r="F38" t="s">
        <v>62</v>
      </c>
      <c r="G38" t="s">
        <v>148</v>
      </c>
      <c r="H38" t="s">
        <v>63</v>
      </c>
      <c r="I38" t="s">
        <v>62</v>
      </c>
      <c r="J38" t="s">
        <v>59</v>
      </c>
      <c r="K38" t="s">
        <v>113</v>
      </c>
      <c r="L38" t="s">
        <v>112</v>
      </c>
      <c r="M38" t="s">
        <v>153</v>
      </c>
      <c r="N38" t="s">
        <v>112</v>
      </c>
      <c r="O38" t="s">
        <v>146</v>
      </c>
      <c r="P38" t="s">
        <v>63</v>
      </c>
      <c r="Q38" t="s">
        <v>63</v>
      </c>
      <c r="R38" t="s">
        <v>156</v>
      </c>
      <c r="S38" t="s">
        <v>150</v>
      </c>
      <c r="T38" t="s">
        <v>66</v>
      </c>
      <c r="U38" t="s">
        <v>59</v>
      </c>
      <c r="V38" t="s">
        <v>111</v>
      </c>
      <c r="W38" t="s">
        <v>62</v>
      </c>
      <c r="X38" t="s">
        <v>157</v>
      </c>
      <c r="Y38" t="s">
        <v>62</v>
      </c>
      <c r="Z38" t="s">
        <v>63</v>
      </c>
      <c r="AA38" t="s">
        <v>67</v>
      </c>
      <c r="AB38" t="s">
        <v>58</v>
      </c>
      <c r="AC38" t="s">
        <v>147</v>
      </c>
      <c r="AD38" t="s">
        <v>62</v>
      </c>
      <c r="AE38" t="s">
        <v>146</v>
      </c>
      <c r="AF38" t="s">
        <v>59</v>
      </c>
    </row>
    <row r="39" spans="1:32" x14ac:dyDescent="0.25">
      <c r="A39">
        <v>5</v>
      </c>
      <c r="B39">
        <v>39.951596414649401</v>
      </c>
      <c r="C39">
        <v>49.629297177781197</v>
      </c>
      <c r="D39">
        <v>40.000665331437297</v>
      </c>
      <c r="E39">
        <v>56.5525260389756</v>
      </c>
      <c r="F39">
        <v>45.849359050737398</v>
      </c>
      <c r="G39">
        <v>26.934847302485998</v>
      </c>
      <c r="H39">
        <v>37.468645413531902</v>
      </c>
      <c r="I39">
        <v>22.8492430645253</v>
      </c>
      <c r="J39">
        <v>24.227307684561801</v>
      </c>
      <c r="K39">
        <v>61.932523279589198</v>
      </c>
      <c r="L39">
        <v>48.381193432398398</v>
      </c>
      <c r="M39">
        <v>31.322638857363099</v>
      </c>
      <c r="N39">
        <v>35.8863532907557</v>
      </c>
      <c r="O39">
        <v>13.288134380220001</v>
      </c>
      <c r="P39">
        <v>35.4814489924523</v>
      </c>
      <c r="Q39">
        <v>36.2878560953991</v>
      </c>
      <c r="R39">
        <v>51.840777300675597</v>
      </c>
      <c r="S39">
        <v>39.913241972598499</v>
      </c>
      <c r="T39">
        <v>48.683760870765703</v>
      </c>
      <c r="U39">
        <v>19.275463443842298</v>
      </c>
      <c r="V39">
        <v>50.792992853734503</v>
      </c>
      <c r="W39">
        <v>48.738148902659702</v>
      </c>
      <c r="X39">
        <v>45.076424215832098</v>
      </c>
      <c r="Y39">
        <v>13.918047879769</v>
      </c>
      <c r="Z39">
        <v>61.747949940536401</v>
      </c>
      <c r="AA39">
        <v>47.618313672278198</v>
      </c>
      <c r="AB39">
        <v>48.443810492485497</v>
      </c>
      <c r="AC39">
        <v>50.400775084237502</v>
      </c>
      <c r="AD39">
        <v>54.429580990463599</v>
      </c>
      <c r="AE39">
        <v>51.125060628341302</v>
      </c>
      <c r="AF39">
        <v>22.973683789318301</v>
      </c>
    </row>
    <row r="40" spans="1:3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x14ac:dyDescent="0.25">
      <c r="C41" s="6" t="s">
        <v>70</v>
      </c>
      <c r="D41" s="6"/>
      <c r="E41" s="6" t="s">
        <v>71</v>
      </c>
      <c r="F41" s="6"/>
      <c r="G41" s="6" t="s">
        <v>72</v>
      </c>
      <c r="H41" s="6"/>
      <c r="I41" s="6" t="s">
        <v>73</v>
      </c>
      <c r="J41" s="6"/>
      <c r="K41" s="6" t="s">
        <v>74</v>
      </c>
      <c r="L41" s="6"/>
    </row>
    <row r="42" spans="1:32" x14ac:dyDescent="0.25">
      <c r="C42" t="s">
        <v>68</v>
      </c>
      <c r="D42" t="s">
        <v>69</v>
      </c>
      <c r="E42" t="s">
        <v>68</v>
      </c>
      <c r="F42" t="s">
        <v>69</v>
      </c>
      <c r="G42" t="s">
        <v>68</v>
      </c>
      <c r="H42" t="s">
        <v>69</v>
      </c>
      <c r="I42" t="s">
        <v>68</v>
      </c>
      <c r="J42" t="s">
        <v>69</v>
      </c>
      <c r="K42" t="s">
        <v>68</v>
      </c>
      <c r="L42" t="s">
        <v>69</v>
      </c>
    </row>
    <row r="43" spans="1:32" x14ac:dyDescent="0.25">
      <c r="A43" t="s">
        <v>0</v>
      </c>
      <c r="B43" t="s">
        <v>57</v>
      </c>
      <c r="C43" t="s">
        <v>67</v>
      </c>
      <c r="D43">
        <v>100</v>
      </c>
      <c r="E43" t="s">
        <v>65</v>
      </c>
      <c r="F43" s="4">
        <v>90.569932597263104</v>
      </c>
      <c r="G43" t="s">
        <v>63</v>
      </c>
      <c r="H43" s="4">
        <v>64.505938742433202</v>
      </c>
      <c r="I43" t="s">
        <v>62</v>
      </c>
      <c r="J43" s="4">
        <v>53.774077837034397</v>
      </c>
      <c r="K43" t="s">
        <v>112</v>
      </c>
      <c r="L43" s="4">
        <v>39.951596414649401</v>
      </c>
      <c r="N43" s="5"/>
    </row>
    <row r="44" spans="1:32" x14ac:dyDescent="0.25">
      <c r="A44" t="s">
        <v>1</v>
      </c>
      <c r="B44" t="s">
        <v>75</v>
      </c>
      <c r="C44" t="s">
        <v>60</v>
      </c>
      <c r="D44">
        <v>100</v>
      </c>
      <c r="E44" t="s">
        <v>61</v>
      </c>
      <c r="F44" s="4">
        <v>70.341727306296704</v>
      </c>
      <c r="G44" t="s">
        <v>67</v>
      </c>
      <c r="H44" s="4">
        <v>65.846686732323803</v>
      </c>
      <c r="I44" t="s">
        <v>65</v>
      </c>
      <c r="J44" s="4">
        <v>51.561412870996499</v>
      </c>
      <c r="K44" t="s">
        <v>113</v>
      </c>
      <c r="L44" s="4">
        <v>49.629297177781197</v>
      </c>
      <c r="N44" s="5"/>
    </row>
    <row r="45" spans="1:32" x14ac:dyDescent="0.25">
      <c r="A45" t="s">
        <v>2</v>
      </c>
      <c r="B45" t="s">
        <v>76</v>
      </c>
      <c r="C45" t="s">
        <v>65</v>
      </c>
      <c r="D45">
        <v>100</v>
      </c>
      <c r="E45" t="s">
        <v>67</v>
      </c>
      <c r="F45" s="4">
        <v>96.250028834386697</v>
      </c>
      <c r="G45" t="s">
        <v>156</v>
      </c>
      <c r="H45" s="4">
        <v>82.571126751128702</v>
      </c>
      <c r="I45" t="s">
        <v>112</v>
      </c>
      <c r="J45" s="4">
        <v>41.025245525431998</v>
      </c>
      <c r="K45" t="s">
        <v>62</v>
      </c>
      <c r="L45" s="4">
        <v>40.000665331437297</v>
      </c>
      <c r="N45" s="5"/>
    </row>
    <row r="46" spans="1:32" x14ac:dyDescent="0.25">
      <c r="A46" t="s">
        <v>3</v>
      </c>
      <c r="B46" t="s">
        <v>77</v>
      </c>
      <c r="C46" t="s">
        <v>107</v>
      </c>
      <c r="D46">
        <v>100</v>
      </c>
      <c r="E46" t="s">
        <v>59</v>
      </c>
      <c r="F46" s="4">
        <v>72.825393657999498</v>
      </c>
      <c r="G46" t="s">
        <v>149</v>
      </c>
      <c r="H46" s="4">
        <v>69.078418027558698</v>
      </c>
      <c r="I46" t="s">
        <v>158</v>
      </c>
      <c r="J46" s="4">
        <v>66.941502724159704</v>
      </c>
      <c r="K46" t="s">
        <v>159</v>
      </c>
      <c r="L46" s="4">
        <v>56.5525260389756</v>
      </c>
      <c r="N46" s="5"/>
    </row>
    <row r="47" spans="1:32" x14ac:dyDescent="0.25">
      <c r="A47" t="s">
        <v>4</v>
      </c>
      <c r="B47" t="s">
        <v>78</v>
      </c>
      <c r="C47" t="s">
        <v>67</v>
      </c>
      <c r="D47">
        <v>100</v>
      </c>
      <c r="E47" t="s">
        <v>156</v>
      </c>
      <c r="F47" s="4">
        <v>67.680518590588704</v>
      </c>
      <c r="G47" t="s">
        <v>113</v>
      </c>
      <c r="H47" s="4">
        <v>61.7489738131815</v>
      </c>
      <c r="I47" t="s">
        <v>63</v>
      </c>
      <c r="J47" s="4">
        <v>55.496396478385698</v>
      </c>
      <c r="K47" t="s">
        <v>62</v>
      </c>
      <c r="L47" s="4">
        <v>45.849359050737398</v>
      </c>
      <c r="N47" s="5"/>
    </row>
    <row r="48" spans="1:32" x14ac:dyDescent="0.25">
      <c r="A48" t="s">
        <v>5</v>
      </c>
      <c r="B48" t="s">
        <v>79</v>
      </c>
      <c r="C48" t="s">
        <v>113</v>
      </c>
      <c r="D48">
        <v>100</v>
      </c>
      <c r="E48" t="s">
        <v>65</v>
      </c>
      <c r="F48" s="4">
        <v>57.5247852135793</v>
      </c>
      <c r="G48" t="s">
        <v>67</v>
      </c>
      <c r="H48" s="4">
        <v>55.879870130546998</v>
      </c>
      <c r="I48" t="s">
        <v>63</v>
      </c>
      <c r="J48" s="4">
        <v>29.799902387340499</v>
      </c>
      <c r="K48" t="s">
        <v>148</v>
      </c>
      <c r="L48" s="4">
        <v>26.934847302485998</v>
      </c>
      <c r="N48" s="5"/>
    </row>
    <row r="49" spans="1:14" x14ac:dyDescent="0.25">
      <c r="A49" t="s">
        <v>6</v>
      </c>
      <c r="B49" t="s">
        <v>80</v>
      </c>
      <c r="C49" t="s">
        <v>61</v>
      </c>
      <c r="D49">
        <v>100</v>
      </c>
      <c r="E49" t="s">
        <v>65</v>
      </c>
      <c r="F49" s="4">
        <v>75.320169950330495</v>
      </c>
      <c r="G49" t="s">
        <v>67</v>
      </c>
      <c r="H49" s="4">
        <v>66.237474725626896</v>
      </c>
      <c r="I49" t="s">
        <v>152</v>
      </c>
      <c r="J49" s="4">
        <v>44.734249353733297</v>
      </c>
      <c r="K49" t="s">
        <v>63</v>
      </c>
      <c r="L49" s="4">
        <v>37.468645413531902</v>
      </c>
      <c r="N49" s="5"/>
    </row>
    <row r="50" spans="1:14" x14ac:dyDescent="0.25">
      <c r="A50" t="s">
        <v>7</v>
      </c>
      <c r="B50" t="s">
        <v>81</v>
      </c>
      <c r="C50" t="s">
        <v>64</v>
      </c>
      <c r="D50">
        <v>100</v>
      </c>
      <c r="E50" t="s">
        <v>67</v>
      </c>
      <c r="F50" s="4">
        <v>52.070678903796697</v>
      </c>
      <c r="G50" t="s">
        <v>65</v>
      </c>
      <c r="H50" s="4">
        <v>38.423308928525302</v>
      </c>
      <c r="I50" t="s">
        <v>112</v>
      </c>
      <c r="J50" s="4">
        <v>25.838405810156299</v>
      </c>
      <c r="K50" t="s">
        <v>62</v>
      </c>
      <c r="L50" s="4">
        <v>22.8492430645253</v>
      </c>
      <c r="N50" s="5"/>
    </row>
    <row r="51" spans="1:14" x14ac:dyDescent="0.25">
      <c r="A51" t="s">
        <v>8</v>
      </c>
      <c r="B51" t="s">
        <v>82</v>
      </c>
      <c r="C51" t="s">
        <v>64</v>
      </c>
      <c r="D51">
        <v>100</v>
      </c>
      <c r="E51" t="s">
        <v>65</v>
      </c>
      <c r="F51" s="4">
        <v>38.941322588998197</v>
      </c>
      <c r="G51" t="s">
        <v>67</v>
      </c>
      <c r="H51" s="4">
        <v>33.146062245423202</v>
      </c>
      <c r="I51" t="s">
        <v>156</v>
      </c>
      <c r="J51" s="4">
        <v>24.696424643230198</v>
      </c>
      <c r="K51" t="s">
        <v>59</v>
      </c>
      <c r="L51" s="4">
        <v>24.227307684561801</v>
      </c>
      <c r="N51" s="5"/>
    </row>
    <row r="52" spans="1:14" x14ac:dyDescent="0.25">
      <c r="A52" t="s">
        <v>9</v>
      </c>
      <c r="B52" t="s">
        <v>83</v>
      </c>
      <c r="C52" t="s">
        <v>138</v>
      </c>
      <c r="D52">
        <v>100</v>
      </c>
      <c r="E52" t="s">
        <v>67</v>
      </c>
      <c r="F52" s="4">
        <v>74.951006836160602</v>
      </c>
      <c r="G52" t="s">
        <v>155</v>
      </c>
      <c r="H52" s="4">
        <v>72.343304157898999</v>
      </c>
      <c r="I52" t="s">
        <v>139</v>
      </c>
      <c r="J52" s="4">
        <v>64.054745393843305</v>
      </c>
      <c r="K52" t="s">
        <v>113</v>
      </c>
      <c r="L52" s="4">
        <v>61.932523279589198</v>
      </c>
      <c r="N52" s="5"/>
    </row>
    <row r="53" spans="1:14" x14ac:dyDescent="0.25">
      <c r="A53" t="s">
        <v>10</v>
      </c>
      <c r="B53" t="s">
        <v>84</v>
      </c>
      <c r="C53" t="s">
        <v>67</v>
      </c>
      <c r="D53">
        <v>100</v>
      </c>
      <c r="E53" t="s">
        <v>154</v>
      </c>
      <c r="F53" s="4">
        <v>56.954031343655402</v>
      </c>
      <c r="G53" t="s">
        <v>63</v>
      </c>
      <c r="H53" s="4">
        <v>55.433909761382502</v>
      </c>
      <c r="I53" t="s">
        <v>62</v>
      </c>
      <c r="J53" s="4">
        <v>49.005963059541799</v>
      </c>
      <c r="K53" t="s">
        <v>112</v>
      </c>
      <c r="L53" s="4">
        <v>48.381193432398398</v>
      </c>
      <c r="N53" s="5"/>
    </row>
    <row r="54" spans="1:14" x14ac:dyDescent="0.25">
      <c r="A54" t="s">
        <v>11</v>
      </c>
      <c r="B54" t="s">
        <v>85</v>
      </c>
      <c r="C54" t="s">
        <v>142</v>
      </c>
      <c r="D54">
        <v>100</v>
      </c>
      <c r="E54" t="s">
        <v>64</v>
      </c>
      <c r="F54" s="4">
        <v>85.687049636555003</v>
      </c>
      <c r="G54" t="s">
        <v>65</v>
      </c>
      <c r="H54" s="4">
        <v>77.556461065042797</v>
      </c>
      <c r="I54" t="s">
        <v>143</v>
      </c>
      <c r="J54" s="4">
        <v>48.9106053520308</v>
      </c>
      <c r="K54" t="s">
        <v>153</v>
      </c>
      <c r="L54" s="4">
        <v>31.322638857363099</v>
      </c>
      <c r="N54" s="5"/>
    </row>
    <row r="55" spans="1:14" x14ac:dyDescent="0.25">
      <c r="A55" t="s">
        <v>12</v>
      </c>
      <c r="B55" t="s">
        <v>86</v>
      </c>
      <c r="C55" t="s">
        <v>67</v>
      </c>
      <c r="D55">
        <v>100</v>
      </c>
      <c r="E55" t="s">
        <v>60</v>
      </c>
      <c r="F55" s="4">
        <v>76.633308319884506</v>
      </c>
      <c r="G55" t="s">
        <v>65</v>
      </c>
      <c r="H55" s="4">
        <v>69.971885867558001</v>
      </c>
      <c r="I55" t="s">
        <v>62</v>
      </c>
      <c r="J55" s="4">
        <v>38.542023432580898</v>
      </c>
      <c r="K55" t="s">
        <v>112</v>
      </c>
      <c r="L55" s="4">
        <v>35.8863532907557</v>
      </c>
      <c r="N55" s="5"/>
    </row>
    <row r="56" spans="1:14" x14ac:dyDescent="0.25">
      <c r="A56" t="s">
        <v>13</v>
      </c>
      <c r="B56" t="s">
        <v>87</v>
      </c>
      <c r="C56" t="s">
        <v>156</v>
      </c>
      <c r="D56">
        <v>100</v>
      </c>
      <c r="E56" t="s">
        <v>67</v>
      </c>
      <c r="F56" s="4">
        <v>15.6348327458845</v>
      </c>
      <c r="G56" t="s">
        <v>137</v>
      </c>
      <c r="H56" s="4">
        <v>14.982778628317501</v>
      </c>
      <c r="I56" t="s">
        <v>65</v>
      </c>
      <c r="J56" s="4">
        <v>13.428385668975301</v>
      </c>
      <c r="K56" t="s">
        <v>146</v>
      </c>
      <c r="L56" s="4">
        <v>13.288134380220001</v>
      </c>
      <c r="N56" s="5"/>
    </row>
    <row r="57" spans="1:14" x14ac:dyDescent="0.25">
      <c r="A57" t="s">
        <v>14</v>
      </c>
      <c r="B57" t="s">
        <v>88</v>
      </c>
      <c r="C57" t="s">
        <v>107</v>
      </c>
      <c r="D57">
        <v>100</v>
      </c>
      <c r="E57" t="s">
        <v>59</v>
      </c>
      <c r="F57" s="4">
        <v>66.641775694166</v>
      </c>
      <c r="G57" t="s">
        <v>156</v>
      </c>
      <c r="H57" s="4">
        <v>50.6526437255337</v>
      </c>
      <c r="I57" t="s">
        <v>144</v>
      </c>
      <c r="J57" s="4">
        <v>48.150415017534698</v>
      </c>
      <c r="K57" t="s">
        <v>63</v>
      </c>
      <c r="L57" s="4">
        <v>35.4814489924523</v>
      </c>
      <c r="N57" s="5"/>
    </row>
    <row r="58" spans="1:14" x14ac:dyDescent="0.25">
      <c r="A58" t="s">
        <v>15</v>
      </c>
      <c r="B58" t="s">
        <v>89</v>
      </c>
      <c r="C58" t="s">
        <v>140</v>
      </c>
      <c r="D58">
        <v>100</v>
      </c>
      <c r="E58" t="s">
        <v>137</v>
      </c>
      <c r="F58" s="4">
        <v>57.424689632135802</v>
      </c>
      <c r="G58" t="s">
        <v>67</v>
      </c>
      <c r="H58" s="4">
        <v>56.1670008394956</v>
      </c>
      <c r="I58" t="s">
        <v>65</v>
      </c>
      <c r="J58" s="4">
        <v>39.842200820738199</v>
      </c>
      <c r="K58" t="s">
        <v>63</v>
      </c>
      <c r="L58" s="4">
        <v>36.2878560953991</v>
      </c>
      <c r="N58" s="5"/>
    </row>
    <row r="59" spans="1:14" x14ac:dyDescent="0.25">
      <c r="A59" t="s">
        <v>16</v>
      </c>
      <c r="B59" t="s">
        <v>90</v>
      </c>
      <c r="C59" t="s">
        <v>67</v>
      </c>
      <c r="D59">
        <v>100</v>
      </c>
      <c r="E59" t="s">
        <v>63</v>
      </c>
      <c r="F59" s="4">
        <v>78.746134655584299</v>
      </c>
      <c r="G59" t="s">
        <v>59</v>
      </c>
      <c r="H59" s="4">
        <v>66.742746600213906</v>
      </c>
      <c r="I59" t="s">
        <v>107</v>
      </c>
      <c r="J59" s="4">
        <v>61.626118032495199</v>
      </c>
      <c r="K59" t="s">
        <v>156</v>
      </c>
      <c r="L59" s="4">
        <v>51.840777300675597</v>
      </c>
      <c r="N59" s="5"/>
    </row>
    <row r="60" spans="1:14" x14ac:dyDescent="0.25">
      <c r="A60" t="s">
        <v>17</v>
      </c>
      <c r="B60" t="s">
        <v>91</v>
      </c>
      <c r="C60" t="s">
        <v>67</v>
      </c>
      <c r="D60">
        <v>100</v>
      </c>
      <c r="E60" t="s">
        <v>63</v>
      </c>
      <c r="F60" s="4">
        <v>50.534564683173301</v>
      </c>
      <c r="G60" t="s">
        <v>62</v>
      </c>
      <c r="H60" s="4">
        <v>44.765114925964397</v>
      </c>
      <c r="I60" t="s">
        <v>156</v>
      </c>
      <c r="J60" s="4">
        <v>41.895142931091698</v>
      </c>
      <c r="K60" t="s">
        <v>150</v>
      </c>
      <c r="L60" s="4">
        <v>39.913241972598499</v>
      </c>
      <c r="N60" s="5"/>
    </row>
    <row r="61" spans="1:14" x14ac:dyDescent="0.25">
      <c r="A61" t="s">
        <v>18</v>
      </c>
      <c r="B61" t="s">
        <v>92</v>
      </c>
      <c r="C61" t="s">
        <v>67</v>
      </c>
      <c r="D61">
        <v>100</v>
      </c>
      <c r="E61" t="s">
        <v>65</v>
      </c>
      <c r="F61" s="4">
        <v>91.980699431165604</v>
      </c>
      <c r="G61" t="s">
        <v>60</v>
      </c>
      <c r="H61" s="4">
        <v>80.255032564109797</v>
      </c>
      <c r="I61" t="s">
        <v>62</v>
      </c>
      <c r="J61" s="4">
        <v>48.710528628042603</v>
      </c>
      <c r="K61" t="s">
        <v>66</v>
      </c>
      <c r="L61" s="4">
        <v>48.683760870765703</v>
      </c>
      <c r="N61" s="5"/>
    </row>
    <row r="62" spans="1:14" x14ac:dyDescent="0.25">
      <c r="A62" t="s">
        <v>19</v>
      </c>
      <c r="B62" t="s">
        <v>93</v>
      </c>
      <c r="C62" t="s">
        <v>113</v>
      </c>
      <c r="D62">
        <v>100</v>
      </c>
      <c r="E62" t="s">
        <v>65</v>
      </c>
      <c r="F62" s="4">
        <v>32.691861371418298</v>
      </c>
      <c r="G62" t="s">
        <v>67</v>
      </c>
      <c r="H62" s="4">
        <v>28.574548734921098</v>
      </c>
      <c r="I62" t="s">
        <v>156</v>
      </c>
      <c r="J62" s="4">
        <v>23.481493707674101</v>
      </c>
      <c r="K62" t="s">
        <v>59</v>
      </c>
      <c r="L62" s="4">
        <v>19.275463443842298</v>
      </c>
      <c r="N62" s="5"/>
    </row>
    <row r="63" spans="1:14" x14ac:dyDescent="0.25">
      <c r="A63" t="s">
        <v>20</v>
      </c>
      <c r="B63" t="s">
        <v>94</v>
      </c>
      <c r="C63" t="s">
        <v>65</v>
      </c>
      <c r="D63">
        <v>100</v>
      </c>
      <c r="E63" t="s">
        <v>67</v>
      </c>
      <c r="F63" s="4">
        <v>96.513865821633104</v>
      </c>
      <c r="G63" t="s">
        <v>63</v>
      </c>
      <c r="H63" s="4">
        <v>57.306485917717303</v>
      </c>
      <c r="I63" t="s">
        <v>151</v>
      </c>
      <c r="J63" s="4">
        <v>56.757589378455997</v>
      </c>
      <c r="K63" t="s">
        <v>111</v>
      </c>
      <c r="L63" s="4">
        <v>50.792992853734503</v>
      </c>
      <c r="N63" s="5"/>
    </row>
    <row r="64" spans="1:14" x14ac:dyDescent="0.25">
      <c r="A64" t="s">
        <v>21</v>
      </c>
      <c r="B64" t="s">
        <v>95</v>
      </c>
      <c r="C64" t="s">
        <v>67</v>
      </c>
      <c r="D64">
        <v>100</v>
      </c>
      <c r="E64" t="s">
        <v>65</v>
      </c>
      <c r="F64" s="4">
        <v>90.384096322411594</v>
      </c>
      <c r="G64" t="s">
        <v>156</v>
      </c>
      <c r="H64" s="4">
        <v>78.283319182011496</v>
      </c>
      <c r="I64" t="s">
        <v>63</v>
      </c>
      <c r="J64" s="4">
        <v>54.177674741261498</v>
      </c>
      <c r="K64" t="s">
        <v>62</v>
      </c>
      <c r="L64" s="4">
        <v>48.738148902659702</v>
      </c>
      <c r="N64" s="5"/>
    </row>
    <row r="65" spans="1:14" x14ac:dyDescent="0.25">
      <c r="A65" t="s">
        <v>22</v>
      </c>
      <c r="B65" t="s">
        <v>96</v>
      </c>
      <c r="C65" t="s">
        <v>67</v>
      </c>
      <c r="D65">
        <v>100</v>
      </c>
      <c r="E65" t="s">
        <v>65</v>
      </c>
      <c r="F65" s="4">
        <v>85.118472731435006</v>
      </c>
      <c r="G65" t="s">
        <v>63</v>
      </c>
      <c r="H65" s="4">
        <v>51.059680309059601</v>
      </c>
      <c r="I65" t="s">
        <v>60</v>
      </c>
      <c r="J65" s="4">
        <v>45.096244847201703</v>
      </c>
      <c r="K65" t="s">
        <v>157</v>
      </c>
      <c r="L65" s="4">
        <v>45.076424215832098</v>
      </c>
      <c r="N65" s="5"/>
    </row>
    <row r="66" spans="1:14" x14ac:dyDescent="0.25">
      <c r="A66" t="s">
        <v>23</v>
      </c>
      <c r="B66" t="s">
        <v>97</v>
      </c>
      <c r="C66" t="s">
        <v>156</v>
      </c>
      <c r="D66">
        <v>100</v>
      </c>
      <c r="E66" t="s">
        <v>67</v>
      </c>
      <c r="F66" s="4">
        <v>30.428377385466</v>
      </c>
      <c r="G66" t="s">
        <v>63</v>
      </c>
      <c r="H66" s="4">
        <v>25.158483226787801</v>
      </c>
      <c r="I66" t="s">
        <v>59</v>
      </c>
      <c r="J66" s="4">
        <v>14.365856097729599</v>
      </c>
      <c r="K66" t="s">
        <v>62</v>
      </c>
      <c r="L66" s="4">
        <v>13.918047879769</v>
      </c>
      <c r="N66" s="5"/>
    </row>
    <row r="67" spans="1:14" x14ac:dyDescent="0.25">
      <c r="A67" t="s">
        <v>24</v>
      </c>
      <c r="B67" t="s">
        <v>98</v>
      </c>
      <c r="C67" t="s">
        <v>67</v>
      </c>
      <c r="D67">
        <v>100</v>
      </c>
      <c r="E67" t="s">
        <v>65</v>
      </c>
      <c r="F67" s="4">
        <v>92.687328805214705</v>
      </c>
      <c r="G67" t="s">
        <v>156</v>
      </c>
      <c r="H67" s="4">
        <v>80.0731490388239</v>
      </c>
      <c r="I67" t="s">
        <v>145</v>
      </c>
      <c r="J67" s="4">
        <v>68.510059928105804</v>
      </c>
      <c r="K67" t="s">
        <v>63</v>
      </c>
      <c r="L67" s="4">
        <v>61.747949940536401</v>
      </c>
      <c r="N67" s="5"/>
    </row>
    <row r="68" spans="1:14" x14ac:dyDescent="0.25">
      <c r="A68" t="s">
        <v>25</v>
      </c>
      <c r="B68" t="s">
        <v>99</v>
      </c>
      <c r="C68" t="s">
        <v>64</v>
      </c>
      <c r="D68">
        <v>100</v>
      </c>
      <c r="E68" t="s">
        <v>156</v>
      </c>
      <c r="F68" s="4">
        <v>83.198833105018394</v>
      </c>
      <c r="G68" t="s">
        <v>65</v>
      </c>
      <c r="H68" s="4">
        <v>68.327206701855303</v>
      </c>
      <c r="I68" t="s">
        <v>146</v>
      </c>
      <c r="J68" s="4">
        <v>59.219781813145303</v>
      </c>
      <c r="K68" t="s">
        <v>67</v>
      </c>
      <c r="L68" s="4">
        <v>47.618313672278198</v>
      </c>
      <c r="N68" s="5"/>
    </row>
    <row r="69" spans="1:14" x14ac:dyDescent="0.25">
      <c r="A69" t="s">
        <v>26</v>
      </c>
      <c r="B69" t="s">
        <v>100</v>
      </c>
      <c r="C69" t="s">
        <v>67</v>
      </c>
      <c r="D69">
        <v>100</v>
      </c>
      <c r="E69" t="s">
        <v>63</v>
      </c>
      <c r="F69" s="4">
        <v>62.888645835268498</v>
      </c>
      <c r="G69" t="s">
        <v>62</v>
      </c>
      <c r="H69" s="4">
        <v>60.056537058710603</v>
      </c>
      <c r="I69" t="s">
        <v>112</v>
      </c>
      <c r="J69" s="4">
        <v>50.106904890176899</v>
      </c>
      <c r="K69" t="s">
        <v>58</v>
      </c>
      <c r="L69" s="4">
        <v>48.443810492485497</v>
      </c>
      <c r="N69" s="5"/>
    </row>
    <row r="70" spans="1:14" x14ac:dyDescent="0.25">
      <c r="A70" t="s">
        <v>27</v>
      </c>
      <c r="B70" t="s">
        <v>101</v>
      </c>
      <c r="C70" t="s">
        <v>113</v>
      </c>
      <c r="D70">
        <v>100</v>
      </c>
      <c r="E70" t="s">
        <v>156</v>
      </c>
      <c r="F70" s="4">
        <v>78.4800245322796</v>
      </c>
      <c r="G70" t="s">
        <v>59</v>
      </c>
      <c r="H70" s="4">
        <v>78.128446853554294</v>
      </c>
      <c r="I70" t="s">
        <v>67</v>
      </c>
      <c r="J70" s="4">
        <v>51.649334532394001</v>
      </c>
      <c r="K70" t="s">
        <v>147</v>
      </c>
      <c r="L70" s="4">
        <v>50.400775084237502</v>
      </c>
      <c r="N70" s="5"/>
    </row>
    <row r="71" spans="1:14" x14ac:dyDescent="0.25">
      <c r="A71" t="s">
        <v>28</v>
      </c>
      <c r="B71" t="s">
        <v>102</v>
      </c>
      <c r="C71" t="s">
        <v>156</v>
      </c>
      <c r="D71">
        <v>100</v>
      </c>
      <c r="E71" t="s">
        <v>141</v>
      </c>
      <c r="F71" s="4">
        <v>94.316911362530107</v>
      </c>
      <c r="G71" t="s">
        <v>65</v>
      </c>
      <c r="H71" s="4">
        <v>77.338985166340905</v>
      </c>
      <c r="I71" t="s">
        <v>67</v>
      </c>
      <c r="J71" s="4">
        <v>59.748786709589801</v>
      </c>
      <c r="K71" t="s">
        <v>62</v>
      </c>
      <c r="L71" s="4">
        <v>54.429580990463599</v>
      </c>
      <c r="N71" s="5"/>
    </row>
    <row r="72" spans="1:14" x14ac:dyDescent="0.25">
      <c r="A72" t="s">
        <v>29</v>
      </c>
      <c r="B72" t="s">
        <v>103</v>
      </c>
      <c r="C72" t="s">
        <v>65</v>
      </c>
      <c r="D72">
        <v>100</v>
      </c>
      <c r="E72" t="s">
        <v>67</v>
      </c>
      <c r="F72" s="4">
        <v>85.085019597198894</v>
      </c>
      <c r="G72" t="s">
        <v>144</v>
      </c>
      <c r="H72" s="4">
        <v>64.333643878767703</v>
      </c>
      <c r="I72" t="s">
        <v>63</v>
      </c>
      <c r="J72" s="4">
        <v>62.938312477399599</v>
      </c>
      <c r="K72" t="s">
        <v>146</v>
      </c>
      <c r="L72" s="4">
        <v>51.125060628341302</v>
      </c>
      <c r="N72" s="5"/>
    </row>
    <row r="73" spans="1:14" x14ac:dyDescent="0.25">
      <c r="A73" t="s">
        <v>30</v>
      </c>
      <c r="B73" t="s">
        <v>104</v>
      </c>
      <c r="C73" t="s">
        <v>64</v>
      </c>
      <c r="D73">
        <v>100</v>
      </c>
      <c r="E73" t="s">
        <v>67</v>
      </c>
      <c r="F73" s="4">
        <v>37.879215868057003</v>
      </c>
      <c r="G73" t="s">
        <v>65</v>
      </c>
      <c r="H73" s="4">
        <v>34.302059405512097</v>
      </c>
      <c r="I73" t="s">
        <v>60</v>
      </c>
      <c r="J73" s="4">
        <v>26.763817141751399</v>
      </c>
      <c r="K73" t="s">
        <v>59</v>
      </c>
      <c r="L73" s="4">
        <v>22.973683789318301</v>
      </c>
      <c r="N73" s="5"/>
    </row>
    <row r="74" spans="1:14" x14ac:dyDescent="0.25">
      <c r="F74" s="4"/>
      <c r="H74" s="4"/>
      <c r="J74" s="4"/>
      <c r="L74" s="4"/>
      <c r="N74" s="5"/>
    </row>
    <row r="75" spans="1:14" x14ac:dyDescent="0.25">
      <c r="F75" s="4"/>
      <c r="H75" s="4"/>
      <c r="J75" s="4"/>
      <c r="L75" s="4"/>
    </row>
  </sheetData>
  <mergeCells count="5">
    <mergeCell ref="C41:D41"/>
    <mergeCell ref="E41:F41"/>
    <mergeCell ref="G41:H41"/>
    <mergeCell ref="I41:J41"/>
    <mergeCell ref="K41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bscherrer</dc:creator>
  <cp:lastModifiedBy>Scherrer  Beat</cp:lastModifiedBy>
  <dcterms:created xsi:type="dcterms:W3CDTF">2024-11-11T09:27:43Z</dcterms:created>
  <dcterms:modified xsi:type="dcterms:W3CDTF">2025-06-02T17:32:30Z</dcterms:modified>
</cp:coreProperties>
</file>
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L:\research_assistants\Pepe\MLPaper\"/>
    </mc:Choice>
  </mc:AlternateContent>
  <xr:revisionPtr revIDLastSave="0" documentId="13_ncr:1_{28D7CE8F-AD76-4160-ADB2-31735C12F96E}" xr6:coauthVersionLast="47" xr6:coauthVersionMax="47" xr10:uidLastSave="{00000000-0000-0000-0000-000000000000}"/>
  <bookViews>
    <workbookView xWindow="-165" yWindow="-165" windowWidth="29130" windowHeight="17610" activeTab="1" xr2:uid="{C1594537-8017-484F-A4A8-478A33244855}"/>
  </bookViews>
  <sheets>
    <sheet name="Country overview" sheetId="1" r:id="rId1"/>
    <sheet name="Variable Overview" sheetId="2" r:id="rId2"/>
  </sheets>
  <definedNames>
    <definedName name="_xlnm._FilterDatabase" localSheetId="1" hidden="1">'Variable Overview'!$A$12:$AL$129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75" i="2" l="1"/>
  <c r="AL107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E135" i="2"/>
  <c r="AL130" i="2"/>
  <c r="AL131" i="2"/>
  <c r="AL132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</calcChain>
</file>

<file path=xl/sharedStrings.xml><?xml version="1.0" encoding="utf-8"?>
<sst xmlns="http://schemas.openxmlformats.org/spreadsheetml/2006/main" count="493" uniqueCount="433">
  <si>
    <t>Census year</t>
  </si>
  <si>
    <t>DHS year</t>
  </si>
  <si>
    <t>Name</t>
  </si>
  <si>
    <t>Angola</t>
  </si>
  <si>
    <t>2017-2018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</si>
  <si>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</si>
  <si>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</si>
  <si>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</si>
  <si>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</si>
  <si>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</si>
  <si>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</si>
  <si>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</si>
  <si>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2014-2015</t>
  </si>
  <si>
    <t>Chad</t>
  </si>
  <si>
    <t>Comoros</t>
  </si>
  <si>
    <t>2011-2012</t>
  </si>
  <si>
    <t>Congo, Dem. Rep.</t>
  </si>
  <si>
    <t>2013-2014</t>
  </si>
  <si>
    <t>Congo, Rep.</t>
  </si>
  <si>
    <t>Cote d'Ivoire</t>
  </si>
  <si>
    <t>Equatorial Guinea</t>
  </si>
  <si>
    <t>Eritrea</t>
  </si>
  <si>
    <t>2006-2007</t>
  </si>
  <si>
    <t>Eswatini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</si>
  <si>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</si>
  <si>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</si>
  <si>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</si>
  <si>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</si>
  <si>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</si>
  <si>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</si>
  <si>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</si>
  <si>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</si>
  <si>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</si>
  <si>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2008-2009</t>
  </si>
  <si>
    <t>Madagascar</t>
  </si>
  <si>
    <t>2015-2016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</si>
  <si>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</si>
  <si>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</si>
  <si>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</si>
  <si>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</si>
  <si>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</si>
  <si>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</si>
  <si>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</si>
  <si>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</si>
  <si>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</si>
  <si>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</si>
  <si>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</si>
  <si>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</si>
  <si>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</si>
  <si>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</si>
  <si>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</si>
  <si>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</si>
  <si>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</si>
  <si>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</si>
  <si>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</si>
  <si>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Uganda</t>
  </si>
  <si>
    <t>Zambia</t>
  </si>
  <si>
    <t>Zimbabwe</t>
  </si>
  <si>
    <t>2015-2017</t>
  </si>
  <si>
    <t>2019-2020</t>
  </si>
  <si>
    <t>2019-2021</t>
  </si>
  <si>
    <t>Variables short</t>
  </si>
  <si>
    <t>Variables description</t>
  </si>
  <si>
    <t>Health Insurance Scheme</t>
  </si>
  <si>
    <t>member_all_HH</t>
  </si>
  <si>
    <t>age_cat</t>
  </si>
  <si>
    <t>based on DHS variable</t>
  </si>
  <si>
    <t>hv105</t>
  </si>
  <si>
    <t>Number of household members (standardized with Z-score normalization)</t>
  </si>
  <si>
    <t>member_child_under_5</t>
  </si>
  <si>
    <t>Number of household members &lt;5 (standardized with Z-score normalization)</t>
  </si>
  <si>
    <t>hv009</t>
  </si>
  <si>
    <t>hv014</t>
  </si>
  <si>
    <t>region</t>
  </si>
  <si>
    <t>hv024</t>
  </si>
  <si>
    <t>hv010</t>
  </si>
  <si>
    <t>hv011</t>
  </si>
  <si>
    <t>Number of eligible women in household (standardized with Z-score normalization)</t>
  </si>
  <si>
    <t>Number of eligible men in household (standardized with Z-score normalization)</t>
  </si>
  <si>
    <t>member_women_HH</t>
  </si>
  <si>
    <t>member_men_HH</t>
  </si>
  <si>
    <t>rural</t>
  </si>
  <si>
    <t>hv025</t>
  </si>
  <si>
    <t>hv201</t>
  </si>
  <si>
    <t>binary, 1 if rural place of residence</t>
  </si>
  <si>
    <t>binary, 1 if safe drinking water source</t>
  </si>
  <si>
    <t>safe_drinking_water</t>
  </si>
  <si>
    <t>water_interrupted</t>
  </si>
  <si>
    <t>binary, 1 if water was interrupted for a full day or more</t>
  </si>
  <si>
    <t>hv201a</t>
  </si>
  <si>
    <t>hv205</t>
  </si>
  <si>
    <t>binary, 1 if safe toilet facility</t>
  </si>
  <si>
    <t>safe_toilet_facility</t>
  </si>
  <si>
    <t>electricity</t>
  </si>
  <si>
    <t>binary, 1 if household has electricity</t>
  </si>
  <si>
    <t>hv206</t>
  </si>
  <si>
    <t>hv207</t>
  </si>
  <si>
    <t>hv208</t>
  </si>
  <si>
    <t>hv209</t>
  </si>
  <si>
    <t>binary, 1 if household has radio</t>
  </si>
  <si>
    <t>radio</t>
  </si>
  <si>
    <t>television</t>
  </si>
  <si>
    <t>refrigerator</t>
  </si>
  <si>
    <t>bicycle</t>
  </si>
  <si>
    <t>motorcycle</t>
  </si>
  <si>
    <t>car</t>
  </si>
  <si>
    <t>binary, 1 if household has television</t>
  </si>
  <si>
    <t>binary, 1 if household has bicycle</t>
  </si>
  <si>
    <t>binary, 1 if household has motorcycle</t>
  </si>
  <si>
    <t>binary, 1 if household has car</t>
  </si>
  <si>
    <t>binary, 1 if household has refrigerator</t>
  </si>
  <si>
    <t>hv210</t>
  </si>
  <si>
    <t>hv211</t>
  </si>
  <si>
    <t>hv212</t>
  </si>
  <si>
    <t>hv213</t>
  </si>
  <si>
    <t>safe_floor_material</t>
  </si>
  <si>
    <t>binary, 1 if safe floor material</t>
  </si>
  <si>
    <t>female_HH_head</t>
  </si>
  <si>
    <t>binary, 1 if household head is female</t>
  </si>
  <si>
    <t>hv219</t>
  </si>
  <si>
    <t>age_HH_head</t>
  </si>
  <si>
    <t>hv220</t>
  </si>
  <si>
    <t>binary, 1 if household has landline telephone</t>
  </si>
  <si>
    <t>hv221</t>
  </si>
  <si>
    <t>tel</t>
  </si>
  <si>
    <t>toilet</t>
  </si>
  <si>
    <t>binary, 1 if household has any facility</t>
  </si>
  <si>
    <t>share_toilet</t>
  </si>
  <si>
    <t>binary, 1 if household shares toilet with other households</t>
  </si>
  <si>
    <t>hv225</t>
  </si>
  <si>
    <t>safe_cooking_fuel</t>
  </si>
  <si>
    <t>binary, 1 if household uses safe cooking fuel</t>
  </si>
  <si>
    <t>hv226</t>
  </si>
  <si>
    <t>mosquitonet</t>
  </si>
  <si>
    <t>binary, 1 if household uses a mosquitonet for sleeping</t>
  </si>
  <si>
    <t>hv227</t>
  </si>
  <si>
    <t>child_mosquitonet</t>
  </si>
  <si>
    <t>binary, 1 if all children sleep under a mosquitonet</t>
  </si>
  <si>
    <t>hv228</t>
  </si>
  <si>
    <t>soap</t>
  </si>
  <si>
    <t>binary, 1 if soap present at place for hand washing</t>
  </si>
  <si>
    <t>hv232</t>
  </si>
  <si>
    <t>mobile</t>
  </si>
  <si>
    <t>binary, 1 if household has mobile telephone</t>
  </si>
  <si>
    <t>hv243a</t>
  </si>
  <si>
    <t>hv243b</t>
  </si>
  <si>
    <t>hv243c</t>
  </si>
  <si>
    <t>hv243d</t>
  </si>
  <si>
    <t>watch</t>
  </si>
  <si>
    <t>cart</t>
  </si>
  <si>
    <t>boat</t>
  </si>
  <si>
    <t>computer</t>
  </si>
  <si>
    <t>owns_land</t>
  </si>
  <si>
    <t>owns_livestock</t>
  </si>
  <si>
    <t>hv243e</t>
  </si>
  <si>
    <t>hv244</t>
  </si>
  <si>
    <t>hv246</t>
  </si>
  <si>
    <t>binary, 1 if household has watch</t>
  </si>
  <si>
    <t>binary, 1 if household has cart</t>
  </si>
  <si>
    <t>binary, 1 if household has boat</t>
  </si>
  <si>
    <t>binary, 1 if household has computer</t>
  </si>
  <si>
    <t>binary, 1 if household has owns land usable for agriculture</t>
  </si>
  <si>
    <t>binary, 1 if household owns livestock,herds or farm animals</t>
  </si>
  <si>
    <t>bankaccount</t>
  </si>
  <si>
    <t>binary, 1 if household has bankaccount</t>
  </si>
  <si>
    <t>hv247</t>
  </si>
  <si>
    <t>smoke_inside</t>
  </si>
  <si>
    <t>binary, 1 if household members smoke inside the house</t>
  </si>
  <si>
    <t>hv252</t>
  </si>
  <si>
    <t>wealthindex</t>
  </si>
  <si>
    <t>hv270</t>
  </si>
  <si>
    <t>category, wealth index, combined (in quintiles)</t>
  </si>
  <si>
    <t>category, Region</t>
  </si>
  <si>
    <t>Number of mosquitonets (standardized with Z-score normalization)</t>
  </si>
  <si>
    <t>hml1</t>
  </si>
  <si>
    <t>mosquitonets_nr</t>
  </si>
  <si>
    <t>sh121g</t>
  </si>
  <si>
    <t>generator</t>
  </si>
  <si>
    <t>binary, 1 if household has generator</t>
  </si>
  <si>
    <t>binary, 1 if household has music system</t>
  </si>
  <si>
    <t>binary, 1 if household has oven</t>
  </si>
  <si>
    <t>binary, 1 if household has dvd player</t>
  </si>
  <si>
    <t>binary, 1 if household has video recorder</t>
  </si>
  <si>
    <t>binary, 1 if household has internet connection</t>
  </si>
  <si>
    <t>binary, 1 if household has washing machine</t>
  </si>
  <si>
    <t>binary, 1 if household has canoe</t>
  </si>
  <si>
    <t>sh121h</t>
  </si>
  <si>
    <t>sh121i</t>
  </si>
  <si>
    <t>sh121j</t>
  </si>
  <si>
    <t>sh122h</t>
  </si>
  <si>
    <t>sh123a</t>
  </si>
  <si>
    <t>sh144a</t>
  </si>
  <si>
    <t>sh144b</t>
  </si>
  <si>
    <t>sh159</t>
  </si>
  <si>
    <t>music_system</t>
  </si>
  <si>
    <t>dvd_player</t>
  </si>
  <si>
    <t>video_recorder</t>
  </si>
  <si>
    <t>internet_connection</t>
  </si>
  <si>
    <t>washing_machine</t>
  </si>
  <si>
    <t>oven</t>
  </si>
  <si>
    <t>canoe</t>
  </si>
  <si>
    <t>credit_union</t>
  </si>
  <si>
    <t>binary, 1 if household has credit union</t>
  </si>
  <si>
    <t>sh121k</t>
  </si>
  <si>
    <t>sh121l</t>
  </si>
  <si>
    <t>sh121m</t>
  </si>
  <si>
    <t>safe_trash_disposal</t>
  </si>
  <si>
    <t>safe_sewage_disposal</t>
  </si>
  <si>
    <t>binary, 1 if household has safe trash disposal</t>
  </si>
  <si>
    <t>binary, 1 if household has safe sewage disposal</t>
  </si>
  <si>
    <t>child_labor_HH</t>
  </si>
  <si>
    <t>binary, 1 if household has child involved in child labor</t>
  </si>
  <si>
    <t>child_labor_carry_HH</t>
  </si>
  <si>
    <t>binary, 1 if household has child involved in child labor: carrying heavy loads</t>
  </si>
  <si>
    <t>sh165</t>
  </si>
  <si>
    <t>binary, 1 if household has child involved in child labor: activities require working with unsafe tools or operating heavy machinery</t>
  </si>
  <si>
    <t>sh166</t>
  </si>
  <si>
    <t>child_labor_unsafe_HH</t>
  </si>
  <si>
    <t>physical_punishment</t>
  </si>
  <si>
    <t>sh184</t>
  </si>
  <si>
    <t>slept</t>
  </si>
  <si>
    <t>binary, 1 if person slept last night</t>
  </si>
  <si>
    <t>binary, 1 if person belives that physical punishment needed to bring up child properly</t>
  </si>
  <si>
    <t>hv103</t>
  </si>
  <si>
    <t>female</t>
  </si>
  <si>
    <t>binary, 1 if female household member</t>
  </si>
  <si>
    <t>hv104</t>
  </si>
  <si>
    <t>categoy, age (15-59 , in 5 year groups)</t>
  </si>
  <si>
    <t>education</t>
  </si>
  <si>
    <t>hv106</t>
  </si>
  <si>
    <t>education_HH</t>
  </si>
  <si>
    <t>category, highest education level attained (in 4 groups)</t>
  </si>
  <si>
    <t>category, highest education level attained in household (in 4 groups)</t>
  </si>
  <si>
    <t>married</t>
  </si>
  <si>
    <t>binary, 1 if person is married or with a partner</t>
  </si>
  <si>
    <t>hv115, v501, mv501</t>
  </si>
  <si>
    <t>married_HH</t>
  </si>
  <si>
    <t>binary, 1 if someone in household is married or with a partner</t>
  </si>
  <si>
    <t>migrant</t>
  </si>
  <si>
    <t>binary, 1 if someone has migrant status</t>
  </si>
  <si>
    <t>sh11g</t>
  </si>
  <si>
    <t>literate</t>
  </si>
  <si>
    <t>binary, 1 if someone is literate</t>
  </si>
  <si>
    <t>sh20a</t>
  </si>
  <si>
    <t>pregnant</t>
  </si>
  <si>
    <t>binary, 1 if household belives in traditional religions (vodoun, autre)</t>
  </si>
  <si>
    <t>v130, mv130</t>
  </si>
  <si>
    <t>binary, 1 if women not at all reads newspapers or magazines</t>
  </si>
  <si>
    <t>v157</t>
  </si>
  <si>
    <t>v158</t>
  </si>
  <si>
    <t>v159</t>
  </si>
  <si>
    <t>read_newspaper</t>
  </si>
  <si>
    <t>listen_radio</t>
  </si>
  <si>
    <t>watch_TV</t>
  </si>
  <si>
    <t>binary, 1 if women not at all listens to radio</t>
  </si>
  <si>
    <t>binary, 1 if women not at all watches television</t>
  </si>
  <si>
    <t>media_HH</t>
  </si>
  <si>
    <t>binary, 1 if household has some exposure to mass media</t>
  </si>
  <si>
    <t>v157,v158,v159, mv157, mv158, mv159</t>
  </si>
  <si>
    <t>child_born</t>
  </si>
  <si>
    <t>binary, 1 if women has ever a child born</t>
  </si>
  <si>
    <t>v201</t>
  </si>
  <si>
    <t>sondaughterhome</t>
  </si>
  <si>
    <t>binary, 1 if women has either son or daughter at home</t>
  </si>
  <si>
    <t>v202, v203</t>
  </si>
  <si>
    <t>sondaughterdied</t>
  </si>
  <si>
    <t>binary, 1 if women has either son or daughter who have died</t>
  </si>
  <si>
    <t>v206, v207</t>
  </si>
  <si>
    <t>ha54, v213</t>
  </si>
  <si>
    <t>binary, 1 if women is pregnant</t>
  </si>
  <si>
    <t>terminated_pregnancy</t>
  </si>
  <si>
    <t>binary, 1 if women ever had a terminated pregnancy</t>
  </si>
  <si>
    <t>v228</t>
  </si>
  <si>
    <t>binary, 1 if women had a birth in the last three years</t>
  </si>
  <si>
    <t>v238</t>
  </si>
  <si>
    <t>birth_last_3y</t>
  </si>
  <si>
    <t>knows_mordern_method</t>
  </si>
  <si>
    <t>binary, 1 if women knows modern method for contraception</t>
  </si>
  <si>
    <t>v301</t>
  </si>
  <si>
    <t>contraceptive_health_care</t>
  </si>
  <si>
    <t>binary, 1 if contraceptive requires access to health facility</t>
  </si>
  <si>
    <t>v312</t>
  </si>
  <si>
    <t>binary, 1 if women smokes any cigarette or tobacco</t>
  </si>
  <si>
    <t>v463z</t>
  </si>
  <si>
    <t>smokes</t>
  </si>
  <si>
    <t>fertility_HH</t>
  </si>
  <si>
    <t>binary, 1 if household wants to have another baby</t>
  </si>
  <si>
    <t>v602</t>
  </si>
  <si>
    <t>currently_working</t>
  </si>
  <si>
    <t>binary, 1 if women is currently working</t>
  </si>
  <si>
    <t>v714</t>
  </si>
  <si>
    <t>female_spend_earnings</t>
  </si>
  <si>
    <t>female_spend_health_care</t>
  </si>
  <si>
    <t>binary, 1 if women decides on earnings</t>
  </si>
  <si>
    <t>binary, 1 if women decides on health care</t>
  </si>
  <si>
    <t>v743a</t>
  </si>
  <si>
    <t>v739</t>
  </si>
  <si>
    <t>heard_sti</t>
  </si>
  <si>
    <t>binary, 1 if women heard of STI</t>
  </si>
  <si>
    <t>v750</t>
  </si>
  <si>
    <t>tested_HIV</t>
  </si>
  <si>
    <t>binary, 1 if women tested for HIV</t>
  </si>
  <si>
    <t>v781</t>
  </si>
  <si>
    <t>age of household head (standardized with Z-score normalization)</t>
  </si>
  <si>
    <t>trad_religion_HH</t>
  </si>
  <si>
    <t>DRC</t>
  </si>
  <si>
    <t>Republic of  the Congo</t>
  </si>
  <si>
    <t>The Gambia</t>
  </si>
  <si>
    <t>Cote dIvoire</t>
  </si>
  <si>
    <t>Sao.Tome</t>
  </si>
  <si>
    <t>Sierra.Leone</t>
  </si>
  <si>
    <t>hv045c</t>
  </si>
  <si>
    <t>language</t>
  </si>
  <si>
    <t>numeric, Hectares of agricultural land</t>
  </si>
  <si>
    <t>hv245</t>
  </si>
  <si>
    <t>hectares</t>
  </si>
  <si>
    <t>cattle</t>
  </si>
  <si>
    <t>Number of cattle owned</t>
  </si>
  <si>
    <t>hv246a</t>
  </si>
  <si>
    <t>bmi</t>
  </si>
  <si>
    <t>numeric, Body  Mass Index</t>
  </si>
  <si>
    <t>ha40</t>
  </si>
  <si>
    <t>iodine</t>
  </si>
  <si>
    <t>water_handwash_present</t>
  </si>
  <si>
    <t>binary, 1 if salt contains iodine</t>
  </si>
  <si>
    <t>binary, 1 if water is present at handwashing place</t>
  </si>
  <si>
    <t>hv234a</t>
  </si>
  <si>
    <t>hv230b</t>
  </si>
  <si>
    <t>water_treated</t>
  </si>
  <si>
    <t>binary, 1 if Anything done to water to make safe to drink</t>
  </si>
  <si>
    <t>hv237</t>
  </si>
  <si>
    <t>sh136aa</t>
  </si>
  <si>
    <t>sh136ab</t>
  </si>
  <si>
    <t>sh136ac</t>
  </si>
  <si>
    <t>sh136ad</t>
  </si>
  <si>
    <t>sh136ae</t>
  </si>
  <si>
    <t>sh136af</t>
  </si>
  <si>
    <t>sh273</t>
  </si>
  <si>
    <t>beat_child</t>
  </si>
  <si>
    <t>malaria_sorcery</t>
  </si>
  <si>
    <t>malaria_water</t>
  </si>
  <si>
    <t>malaria_mother</t>
  </si>
  <si>
    <t>malaria_transfusion</t>
  </si>
  <si>
    <t>malaria_insects</t>
  </si>
  <si>
    <t>malaria_mosquito</t>
  </si>
  <si>
    <t>binary, if respondent thinks malaria contracted via mosquito</t>
  </si>
  <si>
    <t>binary, if respondent thinks malaria contracted via mother</t>
  </si>
  <si>
    <t>binary, if respondent thinks malaria contracted via sorcery</t>
  </si>
  <si>
    <t>binary, if respondent thinks malaria contracted via other insects</t>
  </si>
  <si>
    <t>binary, if respondent thinks malaria contracted via blood transfusion</t>
  </si>
  <si>
    <t>binary, if respondent thinks malaria contracted via drinking water</t>
  </si>
  <si>
    <t>binary, 1 if respondent thinks Child needs to be physically punished to be brought up properly</t>
  </si>
  <si>
    <t>religion</t>
  </si>
  <si>
    <t>category, religion of woman</t>
  </si>
  <si>
    <t>v130</t>
  </si>
  <si>
    <t>hemoglobin</t>
  </si>
  <si>
    <t>v456</t>
  </si>
  <si>
    <t>numeric, hemoglobin level of woman (adjusted for altitude and smoking)</t>
  </si>
  <si>
    <t>water_time</t>
  </si>
  <si>
    <t>hv204</t>
  </si>
  <si>
    <t>Time for HH to get to water source (minutes)</t>
  </si>
  <si>
    <t>trips</t>
  </si>
  <si>
    <t>v167</t>
  </si>
  <si>
    <t>Number of trips woman took in last 12 months</t>
  </si>
  <si>
    <t>v131</t>
  </si>
  <si>
    <t>ethnicity</t>
  </si>
  <si>
    <t>category, Ethnicity of woman</t>
  </si>
  <si>
    <t>category, Native language of woman</t>
  </si>
  <si>
    <t>decides_health_care</t>
  </si>
  <si>
    <t>decides_purchases</t>
  </si>
  <si>
    <t>v743b</t>
  </si>
  <si>
    <t>binary, 1 if woman involved in decision about own healthcare</t>
  </si>
  <si>
    <t>binary, 1 if woman involved in HH purchases</t>
  </si>
  <si>
    <t>HIV_witchcraft</t>
  </si>
  <si>
    <t>binary, 1 if woman believes she can get HIV by witchcraft</t>
  </si>
  <si>
    <t>v823</t>
  </si>
  <si>
    <t>safe_source_contracept</t>
  </si>
  <si>
    <t>heard_family_planning</t>
  </si>
  <si>
    <t>tetanus</t>
  </si>
  <si>
    <t>binary, 1 if woman used safe source of contraception</t>
  </si>
  <si>
    <t>binary, 1 if woman heard of family planning via any media form</t>
  </si>
  <si>
    <t>binary, 1 if woman has received at least one tetanus injection before birth or pregnancy</t>
  </si>
  <si>
    <t>v326</t>
  </si>
  <si>
    <t>v384a + v384b + v384c</t>
  </si>
  <si>
    <t>m1_1 + m1a_1</t>
  </si>
  <si>
    <t>m50_1</t>
  </si>
  <si>
    <t>checkup_delivery</t>
  </si>
  <si>
    <t>binary, 1 if woman has received a checkup after delivery</t>
  </si>
  <si>
    <t>drugs_parasites</t>
  </si>
  <si>
    <t>m60_1</t>
  </si>
  <si>
    <t>binary, 1 if woman took drugs for intestinal parasites during pregnancy</t>
  </si>
  <si>
    <t>heard_tuberculosis</t>
  </si>
  <si>
    <t>injected_tuberculosis</t>
  </si>
  <si>
    <t>health_card</t>
  </si>
  <si>
    <t>vaccinated</t>
  </si>
  <si>
    <t>non_numeric_fertility_preference</t>
  </si>
  <si>
    <t>ideal_nr_children</t>
  </si>
  <si>
    <t>v474</t>
  </si>
  <si>
    <t>v477</t>
  </si>
  <si>
    <t>h1_1</t>
  </si>
  <si>
    <t>h10_1</t>
  </si>
  <si>
    <t>v613</t>
  </si>
  <si>
    <t>binary, 1 if woman has ever heard of tuberculosis</t>
  </si>
  <si>
    <t>binary, 1 if woman had tuberculosis injection in the last 12 months</t>
  </si>
  <si>
    <t>binary, 1 if woman has health card for child</t>
  </si>
  <si>
    <t>binary, 1 if child has ever been vaccinated</t>
  </si>
  <si>
    <t>binary, 1 if woman chose non-numeric response for ideal number of children</t>
  </si>
  <si>
    <t>numeric, ideal number of children</t>
  </si>
  <si>
    <t>dom_violence</t>
  </si>
  <si>
    <t>d106 + d107 + d108</t>
  </si>
  <si>
    <t>child_labor</t>
  </si>
  <si>
    <t>sh162a + sh162b + sh162c + sh162d</t>
  </si>
  <si>
    <t>child_labor_hours</t>
  </si>
  <si>
    <t>binary, 1 if women has experienced less severe, severe or sexual violence</t>
  </si>
  <si>
    <t>binary, 1 if child engages in any work activity</t>
  </si>
  <si>
    <t>numeric, number of hours child worked in child labor activities</t>
  </si>
  <si>
    <t>sh164</t>
  </si>
  <si>
    <t>child_labor_hours_HH</t>
  </si>
  <si>
    <t>numeric, number of hours child worked in child labor activities in HH</t>
  </si>
  <si>
    <t>drinking_water</t>
  </si>
  <si>
    <t>binary, Has access to source of drinking water</t>
  </si>
  <si>
    <t>media</t>
  </si>
  <si>
    <t>binary, 1 if woman has some exposure to mass media</t>
  </si>
  <si>
    <t>anemia</t>
  </si>
  <si>
    <t>binary, has mild, moderate, or severe anemia level</t>
  </si>
  <si>
    <t>v457</t>
  </si>
  <si>
    <t>Number of Obs. postpartum model</t>
  </si>
  <si>
    <t>Number of Obs. insurance model</t>
  </si>
  <si>
    <t>Number of Obs. birth location model</t>
  </si>
  <si>
    <t>Number of Obs. Vistied HF model</t>
  </si>
  <si>
    <t>Variable used for classical insurance models (https://www.tandfonline.com/doi/full/10.2147/CEOR.S322087#d1e247)</t>
  </si>
  <si>
    <t>Number of variables (incl. all categorical dummies)</t>
  </si>
  <si>
    <t>csection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</si>
</sst>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0" xfId="0" applyAlignment="1">
      <alignment wrapText="1"/>
    </xf>
    <xf numFmtId="0" fontId="1" fillId="2" borderId="0" xfId="0" applyFont="1" applyFill="1"/>
    <xf numFmtId="0" fontId="0" fillId="2" borderId="0" xfId="0" applyFill="1"/>
    <xf numFmtId="0" fontId="1" fillId="2" borderId="1" xfId="0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158E-FFCB-42B2-BE33-A66A362349C9}">
  <dimension ref="A1:C52"/>
  <sheetViews>
    <sheetView workbookViewId="0">
      <selection activeCell="E12" sqref="E12"/>
    </sheetView>
  </sheetViews>
  <sheetFormatPr defaultColWidth="10.81640625" defaultRowHeight="14.5" x14ac:dyDescent="0.35"/>
  <sheetData>
    <row r="1" spans="1:3" x14ac:dyDescent="0.35">
      <c r="A1" s="2" t="s">
        <v>2</v>
      </c>
      <c r="B1" s="2" t="s">
        <v>1</v>
      </c>
      <c r="C1" s="2" t="s">
        <v>0</v>
      </c>
    </row>
    <row r="2" spans="1:3" x14ac:dyDescent="0.35">
      <c r="A2" s="2" t="s">
        <v>5</v>
      </c>
      <c r="B2" s="2" t="s">
        <v>4</v>
      </c>
      <c r="C2" s="2">
        <v>2013</v>
      </c>
    </row>
    <row r="3" spans="1:3" x14ac:dyDescent="0.35">
      <c r="A3" s="2" t="s">
        <v>6</v>
      </c>
      <c r="B3" s="2"/>
      <c r="C3" s="2">
        <v>2011</v>
      </c>
    </row>
    <row r="4" spans="1:3" x14ac:dyDescent="0.35">
      <c r="A4" s="2" t="s">
        <v>7</v>
      </c>
      <c r="B4" s="2">
        <v>2010</v>
      </c>
      <c r="C4" s="2">
        <v>2006</v>
      </c>
    </row>
    <row r="5" spans="1:3" x14ac:dyDescent="0.35">
      <c r="A5" s="2" t="s">
        <v>8</v>
      </c>
      <c r="B5" s="2" t="s">
        <v>58</v>
      </c>
      <c r="C5" s="2"/>
    </row>
    <row r="6" spans="1:3" x14ac:dyDescent="0.35">
      <c r="A6" s="2" t="s">
        <v>10</v>
      </c>
      <c r="B6" s="2">
        <v>2018</v>
      </c>
      <c r="C6" s="2">
        <v>2005</v>
      </c>
    </row>
    <row r="7" spans="1:3" x14ac:dyDescent="0.35">
      <c r="A7" s="2" t="s">
        <v>13</v>
      </c>
      <c r="B7" s="2" t="s">
        <v>12</v>
      </c>
      <c r="C7" s="2"/>
    </row>
    <row r="8" spans="1:3" x14ac:dyDescent="0.35">
      <c r="A8" s="2" t="s">
        <v>14</v>
      </c>
      <c r="B8" s="2">
        <v>2012</v>
      </c>
      <c r="C8" s="2"/>
    </row>
    <row r="9" spans="1:3" x14ac:dyDescent="0.35">
      <c r="A9" s="2" t="s">
        <v>16</v>
      </c>
      <c r="B9" s="2" t="s">
        <v>15</v>
      </c>
      <c r="C9" s="2"/>
    </row>
    <row r="10" spans="1:3" x14ac:dyDescent="0.35">
      <c r="A10" s="2" t="s">
        <v>18</v>
      </c>
      <c r="B10" s="2" t="s">
        <v>17</v>
      </c>
      <c r="C10" s="2"/>
    </row>
    <row r="11" spans="1:3" x14ac:dyDescent="0.35">
      <c r="A11" s="2" t="s">
        <v>19</v>
      </c>
      <c r="B11" s="2" t="s">
        <v>15</v>
      </c>
      <c r="C11" s="2"/>
    </row>
    <row r="12" spans="1:3" x14ac:dyDescent="0.35">
      <c r="A12" s="2" t="s">
        <v>23</v>
      </c>
      <c r="B12" s="2" t="s">
        <v>22</v>
      </c>
      <c r="C12" s="2"/>
    </row>
    <row r="13" spans="1:3" x14ac:dyDescent="0.35">
      <c r="A13" s="2" t="s">
        <v>24</v>
      </c>
      <c r="B13" s="2" t="s">
        <v>22</v>
      </c>
      <c r="C13" s="2">
        <v>2007</v>
      </c>
    </row>
    <row r="14" spans="1:3" x14ac:dyDescent="0.35">
      <c r="A14" s="2" t="s">
        <v>26</v>
      </c>
      <c r="B14" s="2" t="s">
        <v>59</v>
      </c>
      <c r="C14" s="2"/>
    </row>
    <row r="15" spans="1:3" x14ac:dyDescent="0.35">
      <c r="A15" s="2" t="s">
        <v>27</v>
      </c>
      <c r="B15" s="2">
        <v>2014</v>
      </c>
      <c r="C15" s="2">
        <v>2010</v>
      </c>
    </row>
    <row r="16" spans="1:3" x14ac:dyDescent="0.35">
      <c r="A16" s="2" t="s">
        <v>28</v>
      </c>
      <c r="B16" s="2">
        <v>2018</v>
      </c>
      <c r="C16" s="2">
        <v>2014</v>
      </c>
    </row>
    <row r="17" spans="1:3" x14ac:dyDescent="0.35">
      <c r="A17" s="2" t="s">
        <v>30</v>
      </c>
      <c r="B17" s="2">
        <v>2014</v>
      </c>
      <c r="C17" s="2">
        <v>2009</v>
      </c>
    </row>
    <row r="18" spans="1:3" x14ac:dyDescent="0.35">
      <c r="A18" s="2" t="s">
        <v>31</v>
      </c>
      <c r="B18" s="2">
        <v>2014</v>
      </c>
      <c r="C18" s="2">
        <v>2006</v>
      </c>
    </row>
    <row r="19" spans="1:3" x14ac:dyDescent="0.35">
      <c r="A19" s="2" t="s">
        <v>32</v>
      </c>
      <c r="B19" s="2" t="s">
        <v>59</v>
      </c>
      <c r="C19" s="2">
        <v>2008</v>
      </c>
    </row>
    <row r="20" spans="1:3" x14ac:dyDescent="0.35">
      <c r="A20" s="2" t="s">
        <v>34</v>
      </c>
      <c r="B20" s="2">
        <v>2021</v>
      </c>
      <c r="C20" s="2"/>
    </row>
    <row r="21" spans="1:3" x14ac:dyDescent="0.35">
      <c r="A21" s="2" t="s">
        <v>36</v>
      </c>
      <c r="B21" s="2" t="s">
        <v>35</v>
      </c>
      <c r="C21" s="2">
        <v>2008</v>
      </c>
    </row>
    <row r="22" spans="1:3" x14ac:dyDescent="0.35">
      <c r="A22" s="2" t="s">
        <v>37</v>
      </c>
      <c r="B22" s="2">
        <v>2018</v>
      </c>
      <c r="C22" s="2">
        <v>2009</v>
      </c>
    </row>
    <row r="23" spans="1:3" x14ac:dyDescent="0.35">
      <c r="A23" s="2" t="s">
        <v>38</v>
      </c>
      <c r="B23" s="2" t="s">
        <v>60</v>
      </c>
      <c r="C23" s="2"/>
    </row>
    <row r="24" spans="1:3" x14ac:dyDescent="0.35">
      <c r="A24" s="2" t="s">
        <v>39</v>
      </c>
      <c r="B24" s="2"/>
      <c r="C24" s="2">
        <v>2011</v>
      </c>
    </row>
    <row r="25" spans="1:3" x14ac:dyDescent="0.35">
      <c r="A25" s="2" t="s">
        <v>40</v>
      </c>
      <c r="B25" s="2"/>
      <c r="C25" s="2">
        <v>2007</v>
      </c>
    </row>
    <row r="26" spans="1:3" x14ac:dyDescent="0.35">
      <c r="A26" s="2" t="s">
        <v>41</v>
      </c>
      <c r="B26" s="2">
        <v>2013</v>
      </c>
      <c r="C26" s="2"/>
    </row>
    <row r="27" spans="1:3" x14ac:dyDescent="0.35">
      <c r="A27" s="2" t="s">
        <v>42</v>
      </c>
      <c r="B27" s="2">
        <v>2012</v>
      </c>
      <c r="C27" s="2"/>
    </row>
    <row r="28" spans="1:3" x14ac:dyDescent="0.35">
      <c r="A28" s="2" t="s">
        <v>43</v>
      </c>
      <c r="B28" s="2">
        <v>2018</v>
      </c>
      <c r="C28" s="2">
        <v>2010</v>
      </c>
    </row>
    <row r="29" spans="1:3" x14ac:dyDescent="0.35">
      <c r="A29" s="2" t="s">
        <v>44</v>
      </c>
      <c r="B29" s="2" t="s">
        <v>59</v>
      </c>
      <c r="C29" s="2">
        <v>2012</v>
      </c>
    </row>
    <row r="30" spans="1:3" x14ac:dyDescent="0.35">
      <c r="A30" s="2" t="s">
        <v>45</v>
      </c>
      <c r="B30" s="2" t="s">
        <v>33</v>
      </c>
      <c r="C30" s="2"/>
    </row>
    <row r="31" spans="1:3" x14ac:dyDescent="0.35">
      <c r="A31" s="2" t="s">
        <v>46</v>
      </c>
      <c r="B31" s="2">
        <v>2016</v>
      </c>
      <c r="C31" s="2">
        <v>2013</v>
      </c>
    </row>
    <row r="32" spans="1:3" x14ac:dyDescent="0.35">
      <c r="A32" s="2" t="s">
        <v>48</v>
      </c>
      <c r="B32" s="2">
        <v>2019</v>
      </c>
      <c r="C32" s="2">
        <v>2004</v>
      </c>
    </row>
    <row r="33" spans="1:3" x14ac:dyDescent="0.35">
      <c r="A33" s="2" t="s">
        <v>50</v>
      </c>
      <c r="B33" s="2"/>
      <c r="C33" s="2">
        <v>2011</v>
      </c>
    </row>
    <row r="34" spans="1:3" x14ac:dyDescent="0.35">
      <c r="A34" s="2" t="s">
        <v>51</v>
      </c>
      <c r="B34" s="2"/>
      <c r="C34" s="2">
        <v>2008</v>
      </c>
    </row>
    <row r="35" spans="1:3" x14ac:dyDescent="0.35">
      <c r="A35" s="2" t="s">
        <v>52</v>
      </c>
      <c r="B35" s="2"/>
      <c r="C35" s="2">
        <v>2008</v>
      </c>
    </row>
    <row r="36" spans="1:3" x14ac:dyDescent="0.35">
      <c r="A36" s="2" t="s">
        <v>53</v>
      </c>
      <c r="B36" s="2" t="s">
        <v>35</v>
      </c>
      <c r="C36" s="2">
        <v>2012</v>
      </c>
    </row>
    <row r="37" spans="1:3" x14ac:dyDescent="0.35">
      <c r="A37" s="2" t="s">
        <v>54</v>
      </c>
      <c r="B37" s="2" t="s">
        <v>17</v>
      </c>
      <c r="C37" s="2">
        <v>2010</v>
      </c>
    </row>
    <row r="38" spans="1:3" x14ac:dyDescent="0.35">
      <c r="A38" s="2" t="s">
        <v>55</v>
      </c>
      <c r="B38" s="2">
        <v>2016</v>
      </c>
      <c r="C38" s="2">
        <v>2014</v>
      </c>
    </row>
    <row r="39" spans="1:3" x14ac:dyDescent="0.35">
      <c r="A39" s="2" t="s">
        <v>56</v>
      </c>
      <c r="B39" s="2">
        <v>2018</v>
      </c>
      <c r="C39" s="2">
        <v>2010</v>
      </c>
    </row>
    <row r="40" spans="1:3" x14ac:dyDescent="0.35">
      <c r="A40" s="2" t="s">
        <v>57</v>
      </c>
      <c r="B40" s="2">
        <v>2015</v>
      </c>
      <c r="C40" s="2">
        <v>2012</v>
      </c>
    </row>
    <row r="41" spans="1:3" x14ac:dyDescent="0.35">
      <c r="A41" s="1"/>
      <c r="B41" s="1"/>
      <c r="C41" s="1"/>
    </row>
    <row r="42" spans="1:3" x14ac:dyDescent="0.35">
      <c r="A42" s="1"/>
      <c r="B42" s="1"/>
      <c r="C42" s="1"/>
    </row>
    <row r="44" spans="1:3" x14ac:dyDescent="0.35">
      <c r="A44" s="2" t="s">
        <v>3</v>
      </c>
    </row>
    <row r="45" spans="1:3" x14ac:dyDescent="0.35">
      <c r="A45" s="2" t="s">
        <v>9</v>
      </c>
    </row>
    <row r="46" spans="1:3" x14ac:dyDescent="0.35">
      <c r="A46" s="2" t="s">
        <v>11</v>
      </c>
    </row>
    <row r="47" spans="1:3" x14ac:dyDescent="0.35">
      <c r="A47" s="2" t="s">
        <v>20</v>
      </c>
    </row>
    <row r="48" spans="1:3" x14ac:dyDescent="0.35">
      <c r="A48" s="2" t="s">
        <v>21</v>
      </c>
    </row>
    <row r="49" spans="1:1" x14ac:dyDescent="0.35">
      <c r="A49" s="2" t="s">
        <v>25</v>
      </c>
    </row>
    <row r="50" spans="1:1" x14ac:dyDescent="0.35">
      <c r="A50" s="2" t="s">
        <v>29</v>
      </c>
    </row>
    <row r="51" spans="1:1" x14ac:dyDescent="0.35">
      <c r="A51" s="2" t="s">
        <v>47</v>
      </c>
    </row>
    <row r="52" spans="1:1" x14ac:dyDescent="0.35">
      <c r="A52" s="2" t="s">
        <v>49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F7A1-A965-4F6E-88B0-002383CF466D}">
  <dimension ref="A1:AL135"/>
  <sheetViews>
    <sheetView tabSelected="1" topLeftCell="A108" workbookViewId="0">
      <pane xSplit="1" topLeftCell="B1" activePane="topRight" state="frozen"/>
      <selection activeCell="A4" sqref="A4"/>
      <selection pane="topRight" activeCell="B124" sqref="B124"/>
    </sheetView>
  </sheetViews>
  <sheetFormatPr defaultColWidth="10.81640625" defaultRowHeight="14.5" x14ac:dyDescent="0.35"/>
  <cols>
    <col min="1" max="1" width="25.7265625" bestFit="1" customWidth="1"/>
    <col min="2" max="2" width="54.54296875" customWidth="1"/>
    <col min="3" max="4" width="21.7265625" customWidth="1"/>
  </cols>
  <sheetData>
    <row r="1" spans="1:38" s="6" customFormat="1" x14ac:dyDescent="0.35">
      <c r="A1" s="7" t="s">
        <v>2</v>
      </c>
      <c r="B1" s="7"/>
      <c r="C1" s="7"/>
      <c r="D1" s="7" t="s">
        <v>430</v>
      </c>
      <c r="E1" s="7" t="s">
        <v>5</v>
      </c>
      <c r="F1" s="7" t="s">
        <v>7</v>
      </c>
      <c r="G1" s="7" t="s">
        <v>8</v>
      </c>
      <c r="H1" s="7" t="s">
        <v>10</v>
      </c>
      <c r="I1" s="7" t="s">
        <v>13</v>
      </c>
      <c r="J1" s="7" t="s">
        <v>14</v>
      </c>
      <c r="K1" s="7" t="s">
        <v>305</v>
      </c>
      <c r="L1" s="7" t="s">
        <v>306</v>
      </c>
      <c r="M1" s="7" t="s">
        <v>308</v>
      </c>
      <c r="N1" s="7" t="s">
        <v>23</v>
      </c>
      <c r="O1" s="7" t="s">
        <v>24</v>
      </c>
      <c r="P1" s="7" t="s">
        <v>307</v>
      </c>
      <c r="Q1" s="7" t="s">
        <v>27</v>
      </c>
      <c r="R1" s="7" t="s">
        <v>28</v>
      </c>
      <c r="S1" s="7" t="s">
        <v>30</v>
      </c>
      <c r="T1" s="7" t="s">
        <v>31</v>
      </c>
      <c r="U1" s="7" t="s">
        <v>32</v>
      </c>
      <c r="V1" s="7" t="s">
        <v>34</v>
      </c>
      <c r="W1" s="7" t="s">
        <v>36</v>
      </c>
      <c r="X1" s="7" t="s">
        <v>37</v>
      </c>
      <c r="Y1" s="7" t="s">
        <v>38</v>
      </c>
      <c r="Z1" s="7" t="s">
        <v>41</v>
      </c>
      <c r="AA1" s="7" t="s">
        <v>42</v>
      </c>
      <c r="AB1" s="7" t="s">
        <v>43</v>
      </c>
      <c r="AC1" s="7" t="s">
        <v>44</v>
      </c>
      <c r="AD1" s="7" t="s">
        <v>309</v>
      </c>
      <c r="AE1" s="7" t="s">
        <v>46</v>
      </c>
      <c r="AF1" s="7" t="s">
        <v>310</v>
      </c>
      <c r="AG1" s="7" t="s">
        <v>53</v>
      </c>
      <c r="AH1" s="7" t="s">
        <v>54</v>
      </c>
      <c r="AI1" s="7" t="s">
        <v>55</v>
      </c>
      <c r="AJ1" s="7" t="s">
        <v>56</v>
      </c>
      <c r="AK1" s="7" t="s">
        <v>57</v>
      </c>
    </row>
    <row r="2" spans="1:38" x14ac:dyDescent="0.35">
      <c r="A2" s="2" t="s">
        <v>1</v>
      </c>
      <c r="B2" s="2"/>
      <c r="C2" s="2"/>
      <c r="D2" s="2"/>
      <c r="E2" s="2" t="s">
        <v>4</v>
      </c>
      <c r="F2" s="2">
        <v>2010</v>
      </c>
      <c r="G2" s="2" t="s">
        <v>58</v>
      </c>
      <c r="H2" s="2">
        <v>2018</v>
      </c>
      <c r="I2" s="2" t="s">
        <v>12</v>
      </c>
      <c r="J2" s="2">
        <v>2012</v>
      </c>
      <c r="K2" s="2" t="s">
        <v>15</v>
      </c>
      <c r="L2" s="2" t="s">
        <v>17</v>
      </c>
      <c r="M2" s="2" t="s">
        <v>15</v>
      </c>
      <c r="N2" s="2" t="s">
        <v>22</v>
      </c>
      <c r="O2" s="2" t="s">
        <v>22</v>
      </c>
      <c r="P2" s="2" t="s">
        <v>59</v>
      </c>
      <c r="Q2" s="2">
        <v>2014</v>
      </c>
      <c r="R2" s="2">
        <v>2018</v>
      </c>
      <c r="S2" s="2">
        <v>2014</v>
      </c>
      <c r="T2" s="2">
        <v>2014</v>
      </c>
      <c r="U2" s="2" t="s">
        <v>59</v>
      </c>
      <c r="V2" s="2">
        <v>2021</v>
      </c>
      <c r="W2" s="2" t="s">
        <v>35</v>
      </c>
      <c r="X2" s="2">
        <v>2018</v>
      </c>
      <c r="Y2" s="2" t="s">
        <v>60</v>
      </c>
      <c r="Z2" s="2">
        <v>2013</v>
      </c>
      <c r="AA2" s="2">
        <v>2012</v>
      </c>
      <c r="AB2" s="2">
        <v>2018</v>
      </c>
      <c r="AC2" s="2" t="s">
        <v>59</v>
      </c>
      <c r="AD2" s="2" t="s">
        <v>33</v>
      </c>
      <c r="AE2" s="2">
        <v>2016</v>
      </c>
      <c r="AF2" s="2">
        <v>2019</v>
      </c>
      <c r="AG2" s="2" t="s">
        <v>35</v>
      </c>
      <c r="AH2" s="2" t="s">
        <v>17</v>
      </c>
      <c r="AI2" s="2">
        <v>2016</v>
      </c>
      <c r="AJ2" s="2">
        <v>2018</v>
      </c>
      <c r="AK2" s="2">
        <v>2015</v>
      </c>
    </row>
    <row r="3" spans="1:38" x14ac:dyDescent="0.35">
      <c r="A3" s="2" t="s">
        <v>0</v>
      </c>
      <c r="B3" s="2"/>
      <c r="C3" s="2"/>
      <c r="D3" s="2"/>
      <c r="E3" s="2">
        <v>2013</v>
      </c>
      <c r="F3" s="2">
        <v>2006</v>
      </c>
      <c r="G3" s="2"/>
      <c r="H3" s="2">
        <v>2005</v>
      </c>
      <c r="I3" s="2"/>
      <c r="J3" s="2"/>
      <c r="K3" s="2"/>
      <c r="L3" s="2"/>
      <c r="M3" s="2"/>
      <c r="N3" s="2"/>
      <c r="O3" s="2">
        <v>2007</v>
      </c>
      <c r="P3" s="2"/>
      <c r="Q3" s="2">
        <v>2010</v>
      </c>
      <c r="R3" s="2">
        <v>2014</v>
      </c>
      <c r="S3" s="2">
        <v>2009</v>
      </c>
      <c r="T3" s="2">
        <v>2006</v>
      </c>
      <c r="U3" s="2">
        <v>2008</v>
      </c>
      <c r="V3" s="2"/>
      <c r="W3" s="2">
        <v>2008</v>
      </c>
      <c r="X3" s="2">
        <v>2009</v>
      </c>
      <c r="Y3" s="2"/>
      <c r="Z3" s="2"/>
      <c r="AA3" s="2"/>
      <c r="AB3" s="2">
        <v>2010</v>
      </c>
      <c r="AC3" s="2">
        <v>2012</v>
      </c>
      <c r="AD3" s="2"/>
      <c r="AE3" s="2">
        <v>2013</v>
      </c>
      <c r="AF3" s="2">
        <v>2004</v>
      </c>
      <c r="AG3" s="2">
        <v>2012</v>
      </c>
      <c r="AH3" s="2">
        <v>2010</v>
      </c>
      <c r="AI3" s="2">
        <v>2014</v>
      </c>
      <c r="AJ3" s="2">
        <v>2010</v>
      </c>
      <c r="AK3" s="2">
        <v>2012</v>
      </c>
    </row>
    <row r="4" spans="1:38" x14ac:dyDescent="0.35">
      <c r="A4" s="3" t="s">
        <v>63</v>
      </c>
    </row>
    <row r="5" spans="1:38" x14ac:dyDescent="0.35">
      <c r="A5" s="1"/>
    </row>
    <row r="6" spans="1:38" x14ac:dyDescent="0.35">
      <c r="A6" s="1" t="s">
        <v>427</v>
      </c>
    </row>
    <row r="7" spans="1:38" x14ac:dyDescent="0.35">
      <c r="A7" s="1" t="s">
        <v>426</v>
      </c>
    </row>
    <row r="8" spans="1:38" x14ac:dyDescent="0.35">
      <c r="A8" s="1" t="s">
        <v>428</v>
      </c>
    </row>
    <row r="9" spans="1:38" x14ac:dyDescent="0.35">
      <c r="A9" s="1" t="s">
        <v>429</v>
      </c>
    </row>
    <row r="10" spans="1:38" x14ac:dyDescent="0.35">
      <c r="A10" s="1"/>
    </row>
    <row r="11" spans="1:38" x14ac:dyDescent="0.35">
      <c r="A11" s="1" t="s">
        <v>431</v>
      </c>
    </row>
    <row r="12" spans="1:38" s="6" customFormat="1" x14ac:dyDescent="0.35">
      <c r="A12" s="5" t="s">
        <v>61</v>
      </c>
      <c r="B12" s="5" t="s">
        <v>62</v>
      </c>
      <c r="C12" s="5" t="s">
        <v>66</v>
      </c>
      <c r="D12" s="5"/>
    </row>
    <row r="13" spans="1:38" x14ac:dyDescent="0.35">
      <c r="A13" s="1" t="s">
        <v>64</v>
      </c>
      <c r="B13" t="s">
        <v>68</v>
      </c>
      <c r="C13" t="s">
        <v>71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 s="8">
        <f t="shared" ref="AL13:AL44" si="0">SUM(E13:AK13)</f>
        <v>33</v>
      </c>
    </row>
    <row r="14" spans="1:38" x14ac:dyDescent="0.35">
      <c r="A14" s="1" t="s">
        <v>79</v>
      </c>
      <c r="B14" t="s">
        <v>77</v>
      </c>
      <c r="C14" t="s">
        <v>75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 s="8">
        <f t="shared" si="0"/>
        <v>33</v>
      </c>
    </row>
    <row r="15" spans="1:38" x14ac:dyDescent="0.35">
      <c r="A15" s="1" t="s">
        <v>80</v>
      </c>
      <c r="B15" t="s">
        <v>78</v>
      </c>
      <c r="C15" t="s">
        <v>76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 s="8">
        <f t="shared" si="0"/>
        <v>33</v>
      </c>
    </row>
    <row r="16" spans="1:38" x14ac:dyDescent="0.35">
      <c r="A16" t="s">
        <v>69</v>
      </c>
      <c r="B16" t="s">
        <v>70</v>
      </c>
      <c r="C16" t="s">
        <v>72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 s="8">
        <f t="shared" si="0"/>
        <v>33</v>
      </c>
    </row>
    <row r="17" spans="1:38" x14ac:dyDescent="0.35">
      <c r="A17" s="1" t="s">
        <v>73</v>
      </c>
      <c r="B17" t="s">
        <v>172</v>
      </c>
      <c r="C17" t="s">
        <v>74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s="8">
        <f t="shared" si="0"/>
        <v>0</v>
      </c>
    </row>
    <row r="18" spans="1:38" x14ac:dyDescent="0.35">
      <c r="A18" s="1" t="s">
        <v>81</v>
      </c>
      <c r="B18" t="s">
        <v>84</v>
      </c>
      <c r="C18" t="s">
        <v>82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 s="8">
        <f t="shared" si="0"/>
        <v>33</v>
      </c>
    </row>
    <row r="19" spans="1:38" x14ac:dyDescent="0.35">
      <c r="A19" t="s">
        <v>86</v>
      </c>
      <c r="B19" t="s">
        <v>85</v>
      </c>
      <c r="C19" t="s">
        <v>83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 s="8">
        <f t="shared" si="0"/>
        <v>33</v>
      </c>
    </row>
    <row r="20" spans="1:38" x14ac:dyDescent="0.35">
      <c r="A20" s="1" t="s">
        <v>87</v>
      </c>
      <c r="B20" t="s">
        <v>88</v>
      </c>
      <c r="C20" t="s">
        <v>89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 s="8">
        <f t="shared" si="0"/>
        <v>3</v>
      </c>
    </row>
    <row r="21" spans="1:38" x14ac:dyDescent="0.35">
      <c r="A21" s="1" t="s">
        <v>92</v>
      </c>
      <c r="B21" t="s">
        <v>91</v>
      </c>
      <c r="C21" t="s">
        <v>90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 s="8">
        <f t="shared" si="0"/>
        <v>33</v>
      </c>
    </row>
    <row r="22" spans="1:38" x14ac:dyDescent="0.35">
      <c r="A22" s="1" t="s">
        <v>93</v>
      </c>
      <c r="B22" t="s">
        <v>94</v>
      </c>
      <c r="C22" t="s">
        <v>95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 s="8">
        <f t="shared" si="0"/>
        <v>33</v>
      </c>
    </row>
    <row r="23" spans="1:38" x14ac:dyDescent="0.35">
      <c r="A23" s="1" t="s">
        <v>100</v>
      </c>
      <c r="B23" t="s">
        <v>99</v>
      </c>
      <c r="C23" t="s">
        <v>96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 s="8">
        <f t="shared" si="0"/>
        <v>33</v>
      </c>
    </row>
    <row r="24" spans="1:38" x14ac:dyDescent="0.35">
      <c r="A24" s="1" t="s">
        <v>101</v>
      </c>
      <c r="B24" t="s">
        <v>106</v>
      </c>
      <c r="C24" t="s">
        <v>97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 s="8">
        <f t="shared" si="0"/>
        <v>33</v>
      </c>
    </row>
    <row r="25" spans="1:38" x14ac:dyDescent="0.35">
      <c r="A25" s="1" t="s">
        <v>102</v>
      </c>
      <c r="B25" t="s">
        <v>110</v>
      </c>
      <c r="C25" t="s">
        <v>98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 s="8">
        <f t="shared" si="0"/>
        <v>33</v>
      </c>
    </row>
    <row r="26" spans="1:38" x14ac:dyDescent="0.35">
      <c r="A26" s="1" t="s">
        <v>103</v>
      </c>
      <c r="B26" t="s">
        <v>107</v>
      </c>
      <c r="C26" t="s">
        <v>111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 s="8">
        <f t="shared" si="0"/>
        <v>33</v>
      </c>
    </row>
    <row r="27" spans="1:38" x14ac:dyDescent="0.35">
      <c r="A27" s="1" t="s">
        <v>104</v>
      </c>
      <c r="B27" t="s">
        <v>108</v>
      </c>
      <c r="C27" t="s">
        <v>112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 s="8">
        <f t="shared" si="0"/>
        <v>33</v>
      </c>
    </row>
    <row r="28" spans="1:38" x14ac:dyDescent="0.35">
      <c r="A28" s="1" t="s">
        <v>105</v>
      </c>
      <c r="B28" t="s">
        <v>109</v>
      </c>
      <c r="C28" t="s">
        <v>113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 s="8">
        <f t="shared" si="0"/>
        <v>33</v>
      </c>
    </row>
    <row r="29" spans="1:38" x14ac:dyDescent="0.35">
      <c r="A29" t="s">
        <v>115</v>
      </c>
      <c r="B29" t="s">
        <v>116</v>
      </c>
      <c r="C29" t="s">
        <v>114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 s="8">
        <f t="shared" si="0"/>
        <v>33</v>
      </c>
    </row>
    <row r="30" spans="1:38" x14ac:dyDescent="0.35">
      <c r="A30" t="s">
        <v>117</v>
      </c>
      <c r="B30" t="s">
        <v>118</v>
      </c>
      <c r="C30" t="s">
        <v>119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 s="8">
        <f t="shared" si="0"/>
        <v>33</v>
      </c>
    </row>
    <row r="31" spans="1:38" x14ac:dyDescent="0.35">
      <c r="A31" s="1" t="s">
        <v>120</v>
      </c>
      <c r="B31" t="s">
        <v>303</v>
      </c>
      <c r="C31" t="s">
        <v>121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8">
        <f t="shared" si="0"/>
        <v>0</v>
      </c>
    </row>
    <row r="32" spans="1:38" x14ac:dyDescent="0.35">
      <c r="A32" s="1" t="s">
        <v>124</v>
      </c>
      <c r="B32" t="s">
        <v>122</v>
      </c>
      <c r="C32" t="s">
        <v>123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0</v>
      </c>
      <c r="AK32">
        <v>1</v>
      </c>
      <c r="AL32" s="8">
        <f t="shared" si="0"/>
        <v>31</v>
      </c>
    </row>
    <row r="33" spans="1:38" x14ac:dyDescent="0.35">
      <c r="A33" s="1" t="s">
        <v>125</v>
      </c>
      <c r="B33" t="s">
        <v>126</v>
      </c>
      <c r="C33" t="s">
        <v>90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 s="8">
        <f t="shared" si="0"/>
        <v>33</v>
      </c>
    </row>
    <row r="34" spans="1:38" x14ac:dyDescent="0.35">
      <c r="A34" s="1" t="s">
        <v>127</v>
      </c>
      <c r="B34" t="s">
        <v>128</v>
      </c>
      <c r="C34" t="s">
        <v>129</v>
      </c>
      <c r="E34">
        <v>0</v>
      </c>
      <c r="F34">
        <v>0</v>
      </c>
      <c r="G34">
        <v>1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 s="8">
        <f t="shared" si="0"/>
        <v>8</v>
      </c>
    </row>
    <row r="35" spans="1:38" x14ac:dyDescent="0.35">
      <c r="A35" s="1" t="s">
        <v>130</v>
      </c>
      <c r="B35" t="s">
        <v>131</v>
      </c>
      <c r="C35" t="s">
        <v>132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 s="8">
        <f t="shared" si="0"/>
        <v>33</v>
      </c>
    </row>
    <row r="36" spans="1:38" x14ac:dyDescent="0.35">
      <c r="A36" t="s">
        <v>133</v>
      </c>
      <c r="B36" t="s">
        <v>134</v>
      </c>
      <c r="C36" t="s">
        <v>135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0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 s="8">
        <f t="shared" si="0"/>
        <v>30</v>
      </c>
    </row>
    <row r="37" spans="1:38" x14ac:dyDescent="0.35">
      <c r="A37" t="s">
        <v>136</v>
      </c>
      <c r="B37" t="s">
        <v>137</v>
      </c>
      <c r="C37" t="s">
        <v>138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s="8">
        <f t="shared" si="0"/>
        <v>0</v>
      </c>
    </row>
    <row r="38" spans="1:38" x14ac:dyDescent="0.35">
      <c r="A38" s="1" t="s">
        <v>139</v>
      </c>
      <c r="B38" t="s">
        <v>140</v>
      </c>
      <c r="C38" t="s">
        <v>141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 s="8">
        <f t="shared" si="0"/>
        <v>5</v>
      </c>
    </row>
    <row r="39" spans="1:38" x14ac:dyDescent="0.35">
      <c r="A39" s="1" t="s">
        <v>142</v>
      </c>
      <c r="B39" t="s">
        <v>143</v>
      </c>
      <c r="C39" t="s">
        <v>144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 s="8">
        <f t="shared" si="0"/>
        <v>33</v>
      </c>
    </row>
    <row r="40" spans="1:38" x14ac:dyDescent="0.35">
      <c r="A40" s="1" t="s">
        <v>148</v>
      </c>
      <c r="B40" t="s">
        <v>157</v>
      </c>
      <c r="C40" t="s">
        <v>145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 s="8">
        <f t="shared" si="0"/>
        <v>31</v>
      </c>
    </row>
    <row r="41" spans="1:38" x14ac:dyDescent="0.35">
      <c r="A41" s="1" t="s">
        <v>149</v>
      </c>
      <c r="B41" t="s">
        <v>158</v>
      </c>
      <c r="C41" t="s">
        <v>146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 s="8">
        <f t="shared" si="0"/>
        <v>30</v>
      </c>
    </row>
    <row r="42" spans="1:38" x14ac:dyDescent="0.35">
      <c r="A42" s="1" t="s">
        <v>150</v>
      </c>
      <c r="B42" t="s">
        <v>159</v>
      </c>
      <c r="C42" t="s">
        <v>147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1</v>
      </c>
      <c r="W42">
        <v>1</v>
      </c>
      <c r="X42">
        <v>1</v>
      </c>
      <c r="Y42">
        <v>1</v>
      </c>
      <c r="Z42">
        <v>1</v>
      </c>
      <c r="AA42">
        <v>0</v>
      </c>
      <c r="AB42">
        <v>1</v>
      </c>
      <c r="AC42">
        <v>1</v>
      </c>
      <c r="AD42">
        <v>1</v>
      </c>
      <c r="AE42">
        <v>0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 s="8">
        <f t="shared" si="0"/>
        <v>28</v>
      </c>
    </row>
    <row r="43" spans="1:38" x14ac:dyDescent="0.35">
      <c r="A43" s="1" t="s">
        <v>151</v>
      </c>
      <c r="B43" t="s">
        <v>160</v>
      </c>
      <c r="C43" t="s">
        <v>154</v>
      </c>
      <c r="E43">
        <v>1</v>
      </c>
      <c r="F43">
        <v>0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1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 s="8">
        <f t="shared" si="0"/>
        <v>18</v>
      </c>
    </row>
    <row r="44" spans="1:38" x14ac:dyDescent="0.35">
      <c r="A44" s="1" t="s">
        <v>152</v>
      </c>
      <c r="B44" t="s">
        <v>161</v>
      </c>
      <c r="C44" t="s">
        <v>155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 s="8">
        <f t="shared" si="0"/>
        <v>33</v>
      </c>
    </row>
    <row r="45" spans="1:38" x14ac:dyDescent="0.35">
      <c r="A45" s="1" t="s">
        <v>153</v>
      </c>
      <c r="B45" t="s">
        <v>162</v>
      </c>
      <c r="C45" t="s">
        <v>156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 s="8">
        <f t="shared" ref="AL45:AL72" si="1">SUM(E45:AK45)</f>
        <v>32</v>
      </c>
    </row>
    <row r="46" spans="1:38" x14ac:dyDescent="0.35">
      <c r="A46" s="1" t="s">
        <v>163</v>
      </c>
      <c r="B46" t="s">
        <v>164</v>
      </c>
      <c r="C46" t="s">
        <v>165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 s="8">
        <f t="shared" si="1"/>
        <v>32</v>
      </c>
    </row>
    <row r="47" spans="1:38" x14ac:dyDescent="0.35">
      <c r="A47" s="1" t="s">
        <v>166</v>
      </c>
      <c r="B47" t="s">
        <v>167</v>
      </c>
      <c r="C47" t="s">
        <v>168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0</v>
      </c>
      <c r="AB47">
        <v>1</v>
      </c>
      <c r="AC47">
        <v>1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 s="8">
        <f t="shared" si="1"/>
        <v>29</v>
      </c>
    </row>
    <row r="48" spans="1:38" x14ac:dyDescent="0.35">
      <c r="A48" s="1" t="s">
        <v>169</v>
      </c>
      <c r="B48" t="s">
        <v>171</v>
      </c>
      <c r="C48" t="s">
        <v>170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 s="8">
        <f t="shared" si="1"/>
        <v>33</v>
      </c>
    </row>
    <row r="49" spans="1:38" x14ac:dyDescent="0.35">
      <c r="A49" t="s">
        <v>175</v>
      </c>
      <c r="B49" t="s">
        <v>173</v>
      </c>
      <c r="C49" t="s">
        <v>174</v>
      </c>
      <c r="E49">
        <v>1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 s="8">
        <f t="shared" si="1"/>
        <v>30</v>
      </c>
    </row>
    <row r="50" spans="1:38" x14ac:dyDescent="0.35">
      <c r="A50" s="1" t="s">
        <v>177</v>
      </c>
      <c r="B50" t="s">
        <v>178</v>
      </c>
      <c r="C50" t="s">
        <v>176</v>
      </c>
      <c r="E50">
        <v>1</v>
      </c>
      <c r="F50">
        <v>0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1</v>
      </c>
      <c r="W50">
        <v>1</v>
      </c>
      <c r="X50">
        <v>1</v>
      </c>
      <c r="Y50">
        <v>1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1</v>
      </c>
      <c r="AJ50">
        <v>1</v>
      </c>
      <c r="AK50">
        <v>1</v>
      </c>
      <c r="AL50" s="8">
        <f t="shared" si="1"/>
        <v>16</v>
      </c>
    </row>
    <row r="51" spans="1:38" x14ac:dyDescent="0.35">
      <c r="A51" s="1" t="s">
        <v>194</v>
      </c>
      <c r="B51" t="s">
        <v>179</v>
      </c>
      <c r="C51" t="s">
        <v>186</v>
      </c>
      <c r="E51">
        <v>1</v>
      </c>
      <c r="F51">
        <v>0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1</v>
      </c>
      <c r="AJ51">
        <v>1</v>
      </c>
      <c r="AK51">
        <v>1</v>
      </c>
      <c r="AL51" s="8">
        <f t="shared" si="1"/>
        <v>15</v>
      </c>
    </row>
    <row r="52" spans="1:38" x14ac:dyDescent="0.35">
      <c r="A52" s="1" t="s">
        <v>199</v>
      </c>
      <c r="B52" t="s">
        <v>180</v>
      </c>
      <c r="C52" t="s">
        <v>187</v>
      </c>
      <c r="E52">
        <v>1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 s="8">
        <f t="shared" si="1"/>
        <v>15</v>
      </c>
    </row>
    <row r="53" spans="1:38" x14ac:dyDescent="0.35">
      <c r="A53" s="1" t="s">
        <v>195</v>
      </c>
      <c r="B53" t="s">
        <v>181</v>
      </c>
      <c r="C53" t="s">
        <v>188</v>
      </c>
      <c r="E53">
        <v>1</v>
      </c>
      <c r="F53">
        <v>0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1</v>
      </c>
      <c r="W53">
        <v>1</v>
      </c>
      <c r="X53">
        <v>1</v>
      </c>
      <c r="Y53">
        <v>1</v>
      </c>
      <c r="Z53">
        <v>0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 s="8">
        <f t="shared" si="1"/>
        <v>15</v>
      </c>
    </row>
    <row r="54" spans="1:38" x14ac:dyDescent="0.35">
      <c r="A54" s="1" t="s">
        <v>196</v>
      </c>
      <c r="B54" t="s">
        <v>182</v>
      </c>
      <c r="C54" t="s">
        <v>203</v>
      </c>
      <c r="E54">
        <v>1</v>
      </c>
      <c r="F54">
        <v>0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1</v>
      </c>
      <c r="Q54">
        <v>0</v>
      </c>
      <c r="R54">
        <v>1</v>
      </c>
      <c r="S54">
        <v>0</v>
      </c>
      <c r="T54">
        <v>0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 s="8">
        <f t="shared" si="1"/>
        <v>16</v>
      </c>
    </row>
    <row r="55" spans="1:38" x14ac:dyDescent="0.35">
      <c r="A55" s="1" t="s">
        <v>197</v>
      </c>
      <c r="B55" t="s">
        <v>183</v>
      </c>
      <c r="C55" t="s">
        <v>204</v>
      </c>
      <c r="E55">
        <v>1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1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 s="8">
        <f t="shared" si="1"/>
        <v>13</v>
      </c>
    </row>
    <row r="56" spans="1:38" x14ac:dyDescent="0.35">
      <c r="A56" s="1" t="s">
        <v>198</v>
      </c>
      <c r="B56" t="s">
        <v>184</v>
      </c>
      <c r="C56" t="s">
        <v>205</v>
      </c>
      <c r="E56">
        <v>1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 s="8">
        <f t="shared" si="1"/>
        <v>10</v>
      </c>
    </row>
    <row r="57" spans="1:38" x14ac:dyDescent="0.35">
      <c r="A57" s="1" t="s">
        <v>200</v>
      </c>
      <c r="B57" t="s">
        <v>185</v>
      </c>
      <c r="C57" t="s">
        <v>189</v>
      </c>
      <c r="E57">
        <v>1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0</v>
      </c>
      <c r="AL57" s="8">
        <f t="shared" si="1"/>
        <v>9</v>
      </c>
    </row>
    <row r="58" spans="1:38" x14ac:dyDescent="0.35">
      <c r="A58" s="1" t="s">
        <v>201</v>
      </c>
      <c r="B58" t="s">
        <v>202</v>
      </c>
      <c r="C58" t="s">
        <v>190</v>
      </c>
      <c r="E58">
        <v>1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1</v>
      </c>
      <c r="AI58">
        <v>0</v>
      </c>
      <c r="AJ58">
        <v>0</v>
      </c>
      <c r="AK58">
        <v>0</v>
      </c>
      <c r="AL58" s="8">
        <f t="shared" si="1"/>
        <v>9</v>
      </c>
    </row>
    <row r="59" spans="1:38" x14ac:dyDescent="0.35">
      <c r="A59" s="1" t="s">
        <v>206</v>
      </c>
      <c r="B59" t="s">
        <v>208</v>
      </c>
      <c r="C59" t="s">
        <v>191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s="8">
        <f t="shared" si="1"/>
        <v>2</v>
      </c>
    </row>
    <row r="60" spans="1:38" x14ac:dyDescent="0.35">
      <c r="A60" s="1" t="s">
        <v>207</v>
      </c>
      <c r="B60" t="s">
        <v>209</v>
      </c>
      <c r="C60" t="s">
        <v>192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s="8">
        <f t="shared" si="1"/>
        <v>1</v>
      </c>
    </row>
    <row r="61" spans="1:38" x14ac:dyDescent="0.35">
      <c r="A61" s="1" t="s">
        <v>218</v>
      </c>
      <c r="B61" t="s">
        <v>222</v>
      </c>
      <c r="C61" t="s">
        <v>219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s="8">
        <f t="shared" si="1"/>
        <v>0</v>
      </c>
    </row>
    <row r="62" spans="1:38" x14ac:dyDescent="0.35">
      <c r="A62" s="1" t="s">
        <v>220</v>
      </c>
      <c r="B62" t="s">
        <v>221</v>
      </c>
      <c r="C62" t="s">
        <v>223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s="8">
        <f t="shared" si="1"/>
        <v>0</v>
      </c>
    </row>
    <row r="63" spans="1:38" x14ac:dyDescent="0.35">
      <c r="A63" s="1" t="s">
        <v>224</v>
      </c>
      <c r="B63" t="s">
        <v>225</v>
      </c>
      <c r="C63" t="s">
        <v>226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s="8">
        <f t="shared" si="1"/>
        <v>0</v>
      </c>
    </row>
    <row r="64" spans="1:38" x14ac:dyDescent="0.35">
      <c r="A64" s="1" t="s">
        <v>65</v>
      </c>
      <c r="B64" t="s">
        <v>227</v>
      </c>
      <c r="C64" t="s">
        <v>67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 s="8">
        <f t="shared" si="1"/>
        <v>33</v>
      </c>
    </row>
    <row r="65" spans="1:38" x14ac:dyDescent="0.35">
      <c r="A65" t="s">
        <v>228</v>
      </c>
      <c r="B65" t="s">
        <v>231</v>
      </c>
      <c r="C65" t="s">
        <v>229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 s="8">
        <f t="shared" si="1"/>
        <v>33</v>
      </c>
    </row>
    <row r="66" spans="1:38" x14ac:dyDescent="0.35">
      <c r="A66" s="1" t="s">
        <v>230</v>
      </c>
      <c r="B66" t="s">
        <v>232</v>
      </c>
      <c r="C66" t="s">
        <v>229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 s="8">
        <f t="shared" si="1"/>
        <v>33</v>
      </c>
    </row>
    <row r="67" spans="1:38" x14ac:dyDescent="0.35">
      <c r="A67" s="1" t="s">
        <v>233</v>
      </c>
      <c r="B67" t="s">
        <v>234</v>
      </c>
      <c r="C67" t="s">
        <v>235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 s="8">
        <f t="shared" si="1"/>
        <v>33</v>
      </c>
    </row>
    <row r="68" spans="1:38" x14ac:dyDescent="0.35">
      <c r="A68" s="1" t="s">
        <v>236</v>
      </c>
      <c r="B68" t="s">
        <v>237</v>
      </c>
      <c r="C68" t="s">
        <v>235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 s="8">
        <f t="shared" si="1"/>
        <v>33</v>
      </c>
    </row>
    <row r="69" spans="1:38" x14ac:dyDescent="0.35">
      <c r="A69" s="1" t="s">
        <v>238</v>
      </c>
      <c r="B69" t="s">
        <v>239</v>
      </c>
      <c r="C69" t="s">
        <v>240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s="8">
        <f t="shared" si="1"/>
        <v>1</v>
      </c>
    </row>
    <row r="70" spans="1:38" x14ac:dyDescent="0.35">
      <c r="A70" s="1" t="s">
        <v>241</v>
      </c>
      <c r="B70" t="s">
        <v>242</v>
      </c>
      <c r="C70" t="s">
        <v>243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 s="8">
        <f t="shared" si="1"/>
        <v>33</v>
      </c>
    </row>
    <row r="71" spans="1:38" x14ac:dyDescent="0.35">
      <c r="A71" s="1" t="s">
        <v>304</v>
      </c>
      <c r="B71" t="s">
        <v>245</v>
      </c>
      <c r="C71" t="s">
        <v>246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s="8">
        <f t="shared" si="1"/>
        <v>0</v>
      </c>
    </row>
    <row r="72" spans="1:38" x14ac:dyDescent="0.35">
      <c r="A72" s="1" t="s">
        <v>251</v>
      </c>
      <c r="B72" t="s">
        <v>247</v>
      </c>
      <c r="C72" t="s">
        <v>248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 s="8">
        <f t="shared" si="1"/>
        <v>33</v>
      </c>
    </row>
    <row r="73" spans="1:38" x14ac:dyDescent="0.35">
      <c r="A73" s="1" t="s">
        <v>252</v>
      </c>
      <c r="B73" t="s">
        <v>254</v>
      </c>
      <c r="C73" t="s">
        <v>249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 s="8">
        <f t="shared" ref="AL73" si="2">SUM(E73:AK73)</f>
        <v>33</v>
      </c>
    </row>
    <row r="74" spans="1:38" x14ac:dyDescent="0.35">
      <c r="A74" s="1" t="s">
        <v>253</v>
      </c>
      <c r="B74" t="s">
        <v>255</v>
      </c>
      <c r="C74" t="s">
        <v>250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 s="8">
        <f t="shared" ref="AL74:AL129" si="3">SUM(E74:AK74)</f>
        <v>33</v>
      </c>
    </row>
    <row r="75" spans="1:38" x14ac:dyDescent="0.35">
      <c r="A75" s="1" t="s">
        <v>421</v>
      </c>
      <c r="B75" t="s">
        <v>422</v>
      </c>
      <c r="C75" t="s">
        <v>258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 s="8">
        <f t="shared" si="3"/>
        <v>33</v>
      </c>
    </row>
    <row r="76" spans="1:38" x14ac:dyDescent="0.35">
      <c r="A76" s="1" t="s">
        <v>256</v>
      </c>
      <c r="B76" t="s">
        <v>257</v>
      </c>
      <c r="C76" t="s">
        <v>258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 s="8">
        <f t="shared" si="3"/>
        <v>33</v>
      </c>
    </row>
    <row r="77" spans="1:38" x14ac:dyDescent="0.35">
      <c r="A77" s="1" t="s">
        <v>259</v>
      </c>
      <c r="B77" t="s">
        <v>260</v>
      </c>
      <c r="C77" t="s">
        <v>261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 s="8">
        <f t="shared" si="3"/>
        <v>33</v>
      </c>
    </row>
    <row r="78" spans="1:38" x14ac:dyDescent="0.35">
      <c r="A78" s="1" t="s">
        <v>262</v>
      </c>
      <c r="B78" t="s">
        <v>263</v>
      </c>
      <c r="C78" t="s">
        <v>264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 s="8">
        <f t="shared" si="3"/>
        <v>33</v>
      </c>
    </row>
    <row r="79" spans="1:38" x14ac:dyDescent="0.35">
      <c r="A79" s="1" t="s">
        <v>265</v>
      </c>
      <c r="B79" t="s">
        <v>266</v>
      </c>
      <c r="C79" t="s">
        <v>267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 s="8">
        <f t="shared" si="3"/>
        <v>33</v>
      </c>
    </row>
    <row r="80" spans="1:38" x14ac:dyDescent="0.35">
      <c r="A80" s="1" t="s">
        <v>244</v>
      </c>
      <c r="B80" t="s">
        <v>269</v>
      </c>
      <c r="C80" t="s">
        <v>268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 s="8">
        <f t="shared" si="3"/>
        <v>33</v>
      </c>
    </row>
    <row r="81" spans="1:38" x14ac:dyDescent="0.35">
      <c r="A81" s="1" t="s">
        <v>270</v>
      </c>
      <c r="B81" t="s">
        <v>271</v>
      </c>
      <c r="C81" t="s">
        <v>272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 s="8">
        <f t="shared" si="3"/>
        <v>33</v>
      </c>
    </row>
    <row r="82" spans="1:38" x14ac:dyDescent="0.35">
      <c r="A82" s="1" t="s">
        <v>275</v>
      </c>
      <c r="B82" t="s">
        <v>273</v>
      </c>
      <c r="C82" t="s">
        <v>274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 s="8">
        <f t="shared" si="3"/>
        <v>33</v>
      </c>
    </row>
    <row r="83" spans="1:38" x14ac:dyDescent="0.35">
      <c r="A83" t="s">
        <v>276</v>
      </c>
      <c r="B83" t="s">
        <v>277</v>
      </c>
      <c r="C83" t="s">
        <v>278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 s="8">
        <f t="shared" si="3"/>
        <v>33</v>
      </c>
    </row>
    <row r="84" spans="1:38" x14ac:dyDescent="0.35">
      <c r="A84" s="1" t="s">
        <v>279</v>
      </c>
      <c r="B84" t="s">
        <v>280</v>
      </c>
      <c r="C84" t="s">
        <v>281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 s="8">
        <f t="shared" si="3"/>
        <v>33</v>
      </c>
    </row>
    <row r="85" spans="1:38" x14ac:dyDescent="0.35">
      <c r="A85" s="1" t="s">
        <v>284</v>
      </c>
      <c r="B85" t="s">
        <v>282</v>
      </c>
      <c r="C85" t="s">
        <v>283</v>
      </c>
      <c r="D85">
        <v>1</v>
      </c>
      <c r="E85">
        <v>1</v>
      </c>
      <c r="F85">
        <v>1</v>
      </c>
      <c r="G85">
        <v>1</v>
      </c>
      <c r="H85">
        <v>1</v>
      </c>
      <c r="I85">
        <v>0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0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 s="8">
        <f t="shared" si="3"/>
        <v>31</v>
      </c>
    </row>
    <row r="86" spans="1:38" x14ac:dyDescent="0.35">
      <c r="A86" s="1" t="s">
        <v>285</v>
      </c>
      <c r="B86" t="s">
        <v>286</v>
      </c>
      <c r="C86" t="s">
        <v>287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 s="8">
        <f t="shared" si="3"/>
        <v>33</v>
      </c>
    </row>
    <row r="87" spans="1:38" x14ac:dyDescent="0.35">
      <c r="A87" s="1" t="s">
        <v>288</v>
      </c>
      <c r="B87" t="s">
        <v>289</v>
      </c>
      <c r="C87" t="s">
        <v>290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 s="8">
        <f t="shared" si="3"/>
        <v>33</v>
      </c>
    </row>
    <row r="88" spans="1:38" x14ac:dyDescent="0.35">
      <c r="A88" s="1" t="s">
        <v>291</v>
      </c>
      <c r="B88" t="s">
        <v>293</v>
      </c>
      <c r="C88" t="s">
        <v>296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s="8">
        <f t="shared" si="3"/>
        <v>0</v>
      </c>
    </row>
    <row r="89" spans="1:38" x14ac:dyDescent="0.35">
      <c r="A89" s="1" t="s">
        <v>292</v>
      </c>
      <c r="B89" t="s">
        <v>294</v>
      </c>
      <c r="C89" t="s">
        <v>295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s="8">
        <f t="shared" si="3"/>
        <v>0</v>
      </c>
    </row>
    <row r="90" spans="1:38" x14ac:dyDescent="0.35">
      <c r="A90" s="1" t="s">
        <v>297</v>
      </c>
      <c r="B90" t="s">
        <v>298</v>
      </c>
      <c r="C90" t="s">
        <v>299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0</v>
      </c>
      <c r="AH90">
        <v>1</v>
      </c>
      <c r="AI90">
        <v>1</v>
      </c>
      <c r="AJ90">
        <v>1</v>
      </c>
      <c r="AK90">
        <v>1</v>
      </c>
      <c r="AL90" s="8">
        <f t="shared" si="3"/>
        <v>31</v>
      </c>
    </row>
    <row r="91" spans="1:38" x14ac:dyDescent="0.35">
      <c r="A91" s="1" t="s">
        <v>300</v>
      </c>
      <c r="B91" t="s">
        <v>301</v>
      </c>
      <c r="C91" t="s">
        <v>302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0</v>
      </c>
      <c r="AC91">
        <v>1</v>
      </c>
      <c r="AD91">
        <v>1</v>
      </c>
      <c r="AE91">
        <v>1</v>
      </c>
      <c r="AF91">
        <v>1</v>
      </c>
      <c r="AG91">
        <v>0</v>
      </c>
      <c r="AH91">
        <v>1</v>
      </c>
      <c r="AI91">
        <v>1</v>
      </c>
      <c r="AJ91">
        <v>1</v>
      </c>
      <c r="AK91">
        <v>1</v>
      </c>
      <c r="AL91" s="8">
        <f t="shared" si="3"/>
        <v>31</v>
      </c>
    </row>
    <row r="92" spans="1:38" x14ac:dyDescent="0.35">
      <c r="A92" s="1" t="s">
        <v>312</v>
      </c>
      <c r="B92" t="s">
        <v>367</v>
      </c>
      <c r="C92" t="s">
        <v>311</v>
      </c>
      <c r="E92">
        <v>1</v>
      </c>
      <c r="F92">
        <v>0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1</v>
      </c>
      <c r="X92">
        <v>1</v>
      </c>
      <c r="Y92">
        <v>1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1</v>
      </c>
      <c r="AJ92">
        <v>1</v>
      </c>
      <c r="AK92">
        <v>0</v>
      </c>
      <c r="AL92" s="8">
        <f t="shared" si="3"/>
        <v>15</v>
      </c>
    </row>
    <row r="93" spans="1:38" x14ac:dyDescent="0.35">
      <c r="A93" s="1" t="s">
        <v>315</v>
      </c>
      <c r="B93" t="s">
        <v>313</v>
      </c>
      <c r="C93" t="s">
        <v>314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s="8">
        <f t="shared" si="3"/>
        <v>0</v>
      </c>
    </row>
    <row r="94" spans="1:38" x14ac:dyDescent="0.35">
      <c r="A94" s="1" t="s">
        <v>316</v>
      </c>
      <c r="B94" t="s">
        <v>317</v>
      </c>
      <c r="C94" t="s">
        <v>318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0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</v>
      </c>
      <c r="V94">
        <v>0</v>
      </c>
      <c r="W94">
        <v>1</v>
      </c>
      <c r="X94">
        <v>1</v>
      </c>
      <c r="Y94">
        <v>0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1</v>
      </c>
      <c r="AG94">
        <v>1</v>
      </c>
      <c r="AH94">
        <v>0</v>
      </c>
      <c r="AI94">
        <v>0</v>
      </c>
      <c r="AJ94">
        <v>1</v>
      </c>
      <c r="AK94">
        <v>1</v>
      </c>
      <c r="AL94" s="8">
        <f t="shared" si="3"/>
        <v>22</v>
      </c>
    </row>
    <row r="95" spans="1:38" x14ac:dyDescent="0.35">
      <c r="A95" s="1" t="s">
        <v>319</v>
      </c>
      <c r="B95" t="s">
        <v>320</v>
      </c>
      <c r="C95" t="s">
        <v>321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1</v>
      </c>
      <c r="AL95" s="8">
        <f t="shared" si="3"/>
        <v>7</v>
      </c>
    </row>
    <row r="96" spans="1:38" x14ac:dyDescent="0.35">
      <c r="A96" s="1" t="s">
        <v>322</v>
      </c>
      <c r="B96" t="s">
        <v>324</v>
      </c>
      <c r="C96" t="s">
        <v>326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0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1</v>
      </c>
      <c r="V96">
        <v>0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0</v>
      </c>
      <c r="AL96" s="8">
        <f t="shared" si="3"/>
        <v>26</v>
      </c>
    </row>
    <row r="97" spans="1:38" x14ac:dyDescent="0.35">
      <c r="A97" t="s">
        <v>323</v>
      </c>
      <c r="B97" t="s">
        <v>325</v>
      </c>
      <c r="C97" t="s">
        <v>327</v>
      </c>
      <c r="E97">
        <v>0</v>
      </c>
      <c r="F97">
        <v>0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 s="8">
        <f t="shared" si="3"/>
        <v>4</v>
      </c>
    </row>
    <row r="98" spans="1:38" x14ac:dyDescent="0.35">
      <c r="A98" t="s">
        <v>328</v>
      </c>
      <c r="B98" t="s">
        <v>329</v>
      </c>
      <c r="C98" t="s">
        <v>330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 s="8">
        <f t="shared" si="3"/>
        <v>33</v>
      </c>
    </row>
    <row r="99" spans="1:38" x14ac:dyDescent="0.35">
      <c r="A99" t="s">
        <v>344</v>
      </c>
      <c r="B99" t="s">
        <v>345</v>
      </c>
      <c r="C99" t="s">
        <v>331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s="8">
        <f t="shared" si="3"/>
        <v>1</v>
      </c>
    </row>
    <row r="100" spans="1:38" x14ac:dyDescent="0.35">
      <c r="A100" t="s">
        <v>343</v>
      </c>
      <c r="B100" t="s">
        <v>348</v>
      </c>
      <c r="C100" t="s">
        <v>332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s="8">
        <f t="shared" si="3"/>
        <v>1</v>
      </c>
    </row>
    <row r="101" spans="1:38" x14ac:dyDescent="0.35">
      <c r="A101" t="s">
        <v>342</v>
      </c>
      <c r="B101" t="s">
        <v>349</v>
      </c>
      <c r="C101" t="s">
        <v>333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s="8">
        <f t="shared" si="3"/>
        <v>1</v>
      </c>
    </row>
    <row r="102" spans="1:38" x14ac:dyDescent="0.35">
      <c r="A102" t="s">
        <v>341</v>
      </c>
      <c r="B102" t="s">
        <v>346</v>
      </c>
      <c r="C102" t="s">
        <v>334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s="8">
        <f t="shared" si="3"/>
        <v>1</v>
      </c>
    </row>
    <row r="103" spans="1:38" x14ac:dyDescent="0.35">
      <c r="A103" t="s">
        <v>340</v>
      </c>
      <c r="B103" t="s">
        <v>350</v>
      </c>
      <c r="C103" t="s">
        <v>335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s="8">
        <f t="shared" si="3"/>
        <v>1</v>
      </c>
    </row>
    <row r="104" spans="1:38" x14ac:dyDescent="0.35">
      <c r="A104" t="s">
        <v>339</v>
      </c>
      <c r="B104" t="s">
        <v>347</v>
      </c>
      <c r="C104" t="s">
        <v>336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s="8">
        <f t="shared" si="3"/>
        <v>1</v>
      </c>
    </row>
    <row r="105" spans="1:38" x14ac:dyDescent="0.35">
      <c r="A105" t="s">
        <v>338</v>
      </c>
      <c r="B105" t="s">
        <v>351</v>
      </c>
      <c r="C105" t="s">
        <v>337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s="8">
        <f t="shared" si="3"/>
        <v>0</v>
      </c>
    </row>
    <row r="106" spans="1:38" x14ac:dyDescent="0.35">
      <c r="A106" t="s">
        <v>352</v>
      </c>
      <c r="B106" t="s">
        <v>353</v>
      </c>
      <c r="C106" t="s">
        <v>354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0</v>
      </c>
      <c r="Z106">
        <v>1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0</v>
      </c>
      <c r="AH106">
        <v>1</v>
      </c>
      <c r="AI106">
        <v>1</v>
      </c>
      <c r="AJ106">
        <v>1</v>
      </c>
      <c r="AK106">
        <v>1</v>
      </c>
      <c r="AL106" s="8">
        <f t="shared" si="3"/>
        <v>30</v>
      </c>
    </row>
    <row r="107" spans="1:38" x14ac:dyDescent="0.35">
      <c r="A107" t="s">
        <v>423</v>
      </c>
      <c r="B107" t="s">
        <v>424</v>
      </c>
      <c r="C107" t="s">
        <v>425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s="8">
        <f t="shared" si="3"/>
        <v>0</v>
      </c>
    </row>
    <row r="108" spans="1:38" x14ac:dyDescent="0.35">
      <c r="A108" t="s">
        <v>355</v>
      </c>
      <c r="B108" t="s">
        <v>357</v>
      </c>
      <c r="C108" t="s">
        <v>356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1</v>
      </c>
      <c r="AK108">
        <v>1</v>
      </c>
      <c r="AL108" s="8">
        <f t="shared" si="3"/>
        <v>6</v>
      </c>
    </row>
    <row r="109" spans="1:38" x14ac:dyDescent="0.35">
      <c r="A109" t="s">
        <v>358</v>
      </c>
      <c r="B109" t="s">
        <v>360</v>
      </c>
      <c r="C109" t="s">
        <v>359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s="8">
        <f t="shared" si="3"/>
        <v>1</v>
      </c>
    </row>
    <row r="110" spans="1:38" x14ac:dyDescent="0.35">
      <c r="A110" t="s">
        <v>361</v>
      </c>
      <c r="B110" t="s">
        <v>363</v>
      </c>
      <c r="C110" t="s">
        <v>362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 s="8">
        <f t="shared" si="3"/>
        <v>26</v>
      </c>
    </row>
    <row r="111" spans="1:38" x14ac:dyDescent="0.35">
      <c r="A111" t="s">
        <v>365</v>
      </c>
      <c r="B111" t="s">
        <v>366</v>
      </c>
      <c r="C111" t="s">
        <v>364</v>
      </c>
      <c r="E111">
        <v>1</v>
      </c>
      <c r="F111">
        <v>1</v>
      </c>
      <c r="G111">
        <v>0</v>
      </c>
      <c r="H111">
        <v>1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0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1</v>
      </c>
      <c r="AG111">
        <v>0</v>
      </c>
      <c r="AH111">
        <v>1</v>
      </c>
      <c r="AI111">
        <v>1</v>
      </c>
      <c r="AJ111">
        <v>0</v>
      </c>
      <c r="AK111">
        <v>0</v>
      </c>
      <c r="AL111" s="8">
        <f t="shared" si="3"/>
        <v>18</v>
      </c>
    </row>
    <row r="112" spans="1:38" x14ac:dyDescent="0.35">
      <c r="A112" t="s">
        <v>368</v>
      </c>
      <c r="B112" t="s">
        <v>371</v>
      </c>
      <c r="C112" t="s">
        <v>295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s="8">
        <f t="shared" si="3"/>
        <v>0</v>
      </c>
    </row>
    <row r="113" spans="1:38" x14ac:dyDescent="0.35">
      <c r="A113" t="s">
        <v>369</v>
      </c>
      <c r="B113" t="s">
        <v>372</v>
      </c>
      <c r="C113" t="s">
        <v>370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s="8">
        <f t="shared" si="3"/>
        <v>0</v>
      </c>
    </row>
    <row r="114" spans="1:38" x14ac:dyDescent="0.35">
      <c r="A114" t="s">
        <v>373</v>
      </c>
      <c r="B114" t="s">
        <v>374</v>
      </c>
      <c r="C114" t="s">
        <v>375</v>
      </c>
      <c r="E114">
        <v>0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0</v>
      </c>
      <c r="S114">
        <v>1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0</v>
      </c>
      <c r="AH114">
        <v>1</v>
      </c>
      <c r="AI114">
        <v>1</v>
      </c>
      <c r="AJ114">
        <v>1</v>
      </c>
      <c r="AK114">
        <v>1</v>
      </c>
      <c r="AL114" s="8">
        <f t="shared" si="3"/>
        <v>25</v>
      </c>
    </row>
    <row r="115" spans="1:38" x14ac:dyDescent="0.35">
      <c r="A115" t="s">
        <v>376</v>
      </c>
      <c r="B115" t="s">
        <v>379</v>
      </c>
      <c r="C115" t="s">
        <v>382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s="8">
        <f t="shared" si="3"/>
        <v>0</v>
      </c>
    </row>
    <row r="116" spans="1:38" x14ac:dyDescent="0.35">
      <c r="A116" t="s">
        <v>377</v>
      </c>
      <c r="B116" t="s">
        <v>380</v>
      </c>
      <c r="C116" t="s">
        <v>383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 s="8">
        <f t="shared" si="3"/>
        <v>33</v>
      </c>
    </row>
    <row r="117" spans="1:38" x14ac:dyDescent="0.35">
      <c r="A117" t="s">
        <v>378</v>
      </c>
      <c r="B117" t="s">
        <v>381</v>
      </c>
      <c r="C117" t="s">
        <v>384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s="8">
        <f t="shared" si="3"/>
        <v>0</v>
      </c>
    </row>
    <row r="118" spans="1:38" x14ac:dyDescent="0.35">
      <c r="A118" t="s">
        <v>386</v>
      </c>
      <c r="B118" t="s">
        <v>387</v>
      </c>
      <c r="C118" t="s">
        <v>385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s="8">
        <f t="shared" si="3"/>
        <v>0</v>
      </c>
    </row>
    <row r="119" spans="1:38" x14ac:dyDescent="0.35">
      <c r="A119" t="s">
        <v>388</v>
      </c>
      <c r="B119" t="s">
        <v>390</v>
      </c>
      <c r="C119" t="s">
        <v>389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s="8">
        <f t="shared" si="3"/>
        <v>0</v>
      </c>
    </row>
    <row r="120" spans="1:38" x14ac:dyDescent="0.35">
      <c r="A120" t="s">
        <v>391</v>
      </c>
      <c r="B120" t="s">
        <v>402</v>
      </c>
      <c r="C120" t="s">
        <v>397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1</v>
      </c>
      <c r="T120">
        <v>1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 s="8">
        <f t="shared" si="3"/>
        <v>9</v>
      </c>
    </row>
    <row r="121" spans="1:38" x14ac:dyDescent="0.35">
      <c r="A121" t="s">
        <v>392</v>
      </c>
      <c r="B121" t="s">
        <v>403</v>
      </c>
      <c r="C121" t="s">
        <v>398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</v>
      </c>
      <c r="V121">
        <v>1</v>
      </c>
      <c r="W121">
        <v>1</v>
      </c>
      <c r="X121">
        <v>1</v>
      </c>
      <c r="Y121">
        <v>0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0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 s="8">
        <f t="shared" si="3"/>
        <v>30</v>
      </c>
    </row>
    <row r="122" spans="1:38" x14ac:dyDescent="0.35">
      <c r="A122" t="s">
        <v>393</v>
      </c>
      <c r="B122" t="s">
        <v>404</v>
      </c>
      <c r="C122" t="s">
        <v>399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s="8">
        <f t="shared" si="3"/>
        <v>0</v>
      </c>
    </row>
    <row r="123" spans="1:38" x14ac:dyDescent="0.35">
      <c r="A123" t="s">
        <v>394</v>
      </c>
      <c r="B123" t="s">
        <v>405</v>
      </c>
      <c r="C123" t="s">
        <v>400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s="8">
        <f t="shared" si="3"/>
        <v>0</v>
      </c>
    </row>
    <row r="124" spans="1:38" x14ac:dyDescent="0.35">
      <c r="A124" t="s">
        <v>395</v>
      </c>
      <c r="B124" t="s">
        <v>406</v>
      </c>
      <c r="C124" t="s">
        <v>401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 s="8">
        <f t="shared" si="3"/>
        <v>33</v>
      </c>
    </row>
    <row r="125" spans="1:38" x14ac:dyDescent="0.35">
      <c r="A125" t="s">
        <v>396</v>
      </c>
      <c r="B125" t="s">
        <v>407</v>
      </c>
      <c r="C125" t="s">
        <v>401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0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 s="8">
        <f t="shared" si="3"/>
        <v>26</v>
      </c>
    </row>
    <row r="126" spans="1:38" x14ac:dyDescent="0.35">
      <c r="A126" t="s">
        <v>408</v>
      </c>
      <c r="B126" t="s">
        <v>413</v>
      </c>
      <c r="C126" t="s">
        <v>409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s="8">
        <f t="shared" si="3"/>
        <v>0</v>
      </c>
    </row>
    <row r="127" spans="1:38" x14ac:dyDescent="0.35">
      <c r="A127" t="s">
        <v>410</v>
      </c>
      <c r="B127" t="s">
        <v>414</v>
      </c>
      <c r="C127" t="s">
        <v>411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s="8">
        <f t="shared" si="3"/>
        <v>0</v>
      </c>
    </row>
    <row r="128" spans="1:38" x14ac:dyDescent="0.35">
      <c r="A128" t="s">
        <v>412</v>
      </c>
      <c r="B128" t="s">
        <v>415</v>
      </c>
      <c r="C128" t="s">
        <v>416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s="8">
        <f t="shared" si="3"/>
        <v>0</v>
      </c>
    </row>
    <row r="129" spans="1:38" x14ac:dyDescent="0.35">
      <c r="A129" t="s">
        <v>417</v>
      </c>
      <c r="B129" t="s">
        <v>418</v>
      </c>
      <c r="C129" t="s">
        <v>416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s="8">
        <f t="shared" si="3"/>
        <v>0</v>
      </c>
    </row>
    <row r="130" spans="1:38" x14ac:dyDescent="0.35">
      <c r="A130" s="1" t="s">
        <v>210</v>
      </c>
      <c r="B130" t="s">
        <v>211</v>
      </c>
      <c r="C130" t="s">
        <v>193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s="8">
        <f>SUM(E130:AK130)</f>
        <v>1</v>
      </c>
    </row>
    <row r="131" spans="1:38" ht="29" x14ac:dyDescent="0.35">
      <c r="A131" t="s">
        <v>212</v>
      </c>
      <c r="B131" s="4" t="s">
        <v>213</v>
      </c>
      <c r="C131" t="s">
        <v>214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s="8">
        <f>SUM(E131:AK131)</f>
        <v>0</v>
      </c>
    </row>
    <row r="132" spans="1:38" ht="29" x14ac:dyDescent="0.35">
      <c r="A132" t="s">
        <v>217</v>
      </c>
      <c r="B132" s="4" t="s">
        <v>215</v>
      </c>
      <c r="C132" t="s">
        <v>216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s="8">
        <f>SUM(E132:AK132)</f>
        <v>0</v>
      </c>
    </row>
    <row r="133" spans="1:38" x14ac:dyDescent="0.35">
      <c r="A133" t="s">
        <v>419</v>
      </c>
      <c r="B133" t="s">
        <v>420</v>
      </c>
      <c r="C133" t="s">
        <v>83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 x14ac:dyDescent="0.35">
      <c r="A134" t="s">
        <v>432</v>
      </c>
    </row>
    <row r="135" spans="1:38" x14ac:dyDescent="0.35">
      <c r="E135">
        <f>SUM(E13:E133)</f>
        <v>78</v>
      </c>
      <c r="F135">
        <f t="shared" ref="F135:AK135" si="4">SUM(F13:F133)</f>
        <v>66</v>
      </c>
      <c r="G135">
        <f t="shared" si="4"/>
        <v>77</v>
      </c>
      <c r="H135">
        <f t="shared" si="4"/>
        <v>79</v>
      </c>
      <c r="I135">
        <f t="shared" si="4"/>
        <v>60</v>
      </c>
      <c r="J135">
        <f t="shared" si="4"/>
        <v>66</v>
      </c>
      <c r="K135">
        <f t="shared" si="4"/>
        <v>72</v>
      </c>
      <c r="L135">
        <f t="shared" si="4"/>
        <v>64</v>
      </c>
      <c r="M135">
        <f t="shared" si="4"/>
        <v>66</v>
      </c>
      <c r="N135">
        <f t="shared" si="4"/>
        <v>65</v>
      </c>
      <c r="O135">
        <f t="shared" si="4"/>
        <v>73</v>
      </c>
      <c r="P135">
        <f t="shared" si="4"/>
        <v>73</v>
      </c>
      <c r="Q135">
        <f t="shared" si="4"/>
        <v>68</v>
      </c>
      <c r="R135">
        <f t="shared" si="4"/>
        <v>71</v>
      </c>
      <c r="S135">
        <f t="shared" si="4"/>
        <v>69</v>
      </c>
      <c r="T135">
        <f t="shared" si="4"/>
        <v>62</v>
      </c>
      <c r="U135">
        <f t="shared" si="4"/>
        <v>67</v>
      </c>
      <c r="V135">
        <f t="shared" si="4"/>
        <v>71</v>
      </c>
      <c r="W135">
        <f t="shared" si="4"/>
        <v>75</v>
      </c>
      <c r="X135">
        <f t="shared" si="4"/>
        <v>73</v>
      </c>
      <c r="Y135">
        <f t="shared" si="4"/>
        <v>66</v>
      </c>
      <c r="Z135">
        <f t="shared" si="4"/>
        <v>67</v>
      </c>
      <c r="AA135">
        <f t="shared" si="4"/>
        <v>60</v>
      </c>
      <c r="AB135">
        <f t="shared" si="4"/>
        <v>74</v>
      </c>
      <c r="AC135">
        <f t="shared" si="4"/>
        <v>76</v>
      </c>
      <c r="AD135">
        <f t="shared" si="4"/>
        <v>63</v>
      </c>
      <c r="AE135">
        <f t="shared" si="4"/>
        <v>60</v>
      </c>
      <c r="AF135">
        <f t="shared" si="4"/>
        <v>69</v>
      </c>
      <c r="AG135">
        <f t="shared" si="4"/>
        <v>67</v>
      </c>
      <c r="AH135">
        <f t="shared" si="4"/>
        <v>66</v>
      </c>
      <c r="AI135">
        <f t="shared" si="4"/>
        <v>76</v>
      </c>
      <c r="AJ135">
        <f t="shared" si="4"/>
        <v>76</v>
      </c>
      <c r="AK135">
        <f t="shared" si="4"/>
        <v>77</v>
      </c>
    </row>
  </sheetData>
  <autoFilter ref="A12:AL129" xr:uid="{A7BFF7A1-A965-4F6E-88B0-002383CF466D}"/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 overview</vt:lpstr>
      <vt:lpstr>Variable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 Durizzo</dc:creator>
  <cp:lastModifiedBy>Scherrer  Beat</cp:lastModifiedBy>
  <dcterms:created xsi:type="dcterms:W3CDTF">2024-02-08T09:52:39Z</dcterms:created>
  <dcterms:modified xsi:type="dcterms:W3CDTF">2024-11-18T19:46:36Z</dcterms:modified>
</cp:coreProperties>
</file>